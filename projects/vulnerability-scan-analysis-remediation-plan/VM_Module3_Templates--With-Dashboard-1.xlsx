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uka\OneDrive - Proven Academy\General - Training Materials\OneDrive - Proven Academy\MyProvenAcademy\Training_Curriculum\Desktop\NEW TRAINING  ASSETS\5.0 VM Module 2 - Scanning\"/>
    </mc:Choice>
  </mc:AlternateContent>
  <xr:revisionPtr revIDLastSave="0" documentId="8_{B0218CE9-5832-446D-AFFB-910D373E21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rt Here" sheetId="1" r:id="rId1"/>
    <sheet name="Dashboard" sheetId="5" r:id="rId2"/>
    <sheet name="Prioritization" sheetId="2" r:id="rId3"/>
    <sheet name="Remediation Tracker" sheetId="3" r:id="rId4"/>
    <sheet name="Metr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5" l="1"/>
  <c r="B37" i="5"/>
  <c r="B36" i="5"/>
  <c r="B35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A24" i="5"/>
  <c r="H24" i="5" s="1"/>
  <c r="D24" i="5"/>
  <c r="H23" i="5"/>
  <c r="G23" i="5"/>
  <c r="F23" i="5"/>
  <c r="E23" i="5"/>
  <c r="D23" i="5"/>
  <c r="C23" i="5"/>
  <c r="B23" i="5"/>
  <c r="A23" i="5"/>
  <c r="H22" i="5"/>
  <c r="G22" i="5"/>
  <c r="F22" i="5"/>
  <c r="E22" i="5"/>
  <c r="D22" i="5"/>
  <c r="C22" i="5"/>
  <c r="B22" i="5"/>
  <c r="H17" i="5"/>
  <c r="H16" i="5"/>
  <c r="H15" i="5"/>
  <c r="C17" i="5"/>
  <c r="B17" i="5"/>
  <c r="C16" i="5"/>
  <c r="B16" i="5"/>
  <c r="C15" i="5"/>
  <c r="B15" i="5"/>
  <c r="H11" i="5"/>
  <c r="G11" i="5"/>
  <c r="F11" i="5"/>
  <c r="G10" i="5"/>
  <c r="F10" i="5"/>
  <c r="G9" i="5"/>
  <c r="F9" i="5"/>
  <c r="C11" i="5"/>
  <c r="B11" i="5"/>
  <c r="C10" i="5"/>
  <c r="C9" i="5"/>
  <c r="B10" i="5"/>
  <c r="B9" i="5"/>
  <c r="E5" i="5"/>
  <c r="D5" i="5"/>
  <c r="C5" i="5"/>
  <c r="B5" i="5"/>
  <c r="A5" i="5"/>
  <c r="I24" i="2"/>
  <c r="I23" i="2"/>
  <c r="I22" i="2"/>
  <c r="I21" i="2"/>
  <c r="I20" i="2"/>
  <c r="I19" i="2"/>
  <c r="D17" i="5" s="1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D16" i="5" s="1"/>
  <c r="I5" i="2"/>
  <c r="G5" i="5" s="1"/>
  <c r="B24" i="5" l="1"/>
  <c r="C24" i="5"/>
  <c r="A25" i="5"/>
  <c r="G24" i="5"/>
  <c r="E24" i="5"/>
  <c r="F24" i="5"/>
  <c r="H16" i="2"/>
  <c r="H20" i="2"/>
  <c r="H14" i="2"/>
  <c r="H22" i="2"/>
  <c r="H7" i="2"/>
  <c r="H23" i="2"/>
  <c r="H13" i="2"/>
  <c r="H21" i="2"/>
  <c r="H6" i="2"/>
  <c r="H9" i="5"/>
  <c r="H15" i="2"/>
  <c r="H10" i="5"/>
  <c r="D15" i="5"/>
  <c r="H10" i="2"/>
  <c r="H11" i="2"/>
  <c r="H19" i="2"/>
  <c r="H12" i="2"/>
  <c r="H17" i="2"/>
  <c r="H5" i="2"/>
  <c r="H24" i="2"/>
  <c r="H9" i="2"/>
  <c r="H8" i="2"/>
  <c r="H18" i="2"/>
  <c r="F5" i="5"/>
  <c r="B25" i="5" l="1"/>
  <c r="F25" i="5"/>
  <c r="D25" i="5"/>
  <c r="H25" i="5"/>
  <c r="G25" i="5"/>
  <c r="C25" i="5"/>
  <c r="A26" i="5"/>
  <c r="E25" i="5"/>
  <c r="C26" i="5" l="1"/>
  <c r="H26" i="5"/>
  <c r="A27" i="5"/>
  <c r="D26" i="5"/>
  <c r="B26" i="5"/>
  <c r="G26" i="5"/>
  <c r="E26" i="5"/>
  <c r="F26" i="5"/>
  <c r="D27" i="5" l="1"/>
  <c r="C27" i="5"/>
  <c r="B27" i="5"/>
  <c r="A28" i="5"/>
  <c r="H27" i="5"/>
  <c r="F27" i="5"/>
  <c r="E27" i="5"/>
  <c r="G27" i="5"/>
  <c r="E28" i="5" l="1"/>
  <c r="G28" i="5"/>
  <c r="F28" i="5"/>
  <c r="D28" i="5"/>
  <c r="B28" i="5"/>
  <c r="A29" i="5"/>
  <c r="C28" i="5"/>
  <c r="H28" i="5"/>
  <c r="F29" i="5" l="1"/>
  <c r="B29" i="5"/>
  <c r="G29" i="5"/>
  <c r="A30" i="5"/>
  <c r="E29" i="5"/>
  <c r="H29" i="5"/>
  <c r="D29" i="5"/>
  <c r="C29" i="5"/>
  <c r="A31" i="5" l="1"/>
  <c r="G30" i="5"/>
  <c r="D30" i="5"/>
  <c r="F30" i="5"/>
  <c r="C30" i="5"/>
  <c r="E30" i="5"/>
  <c r="H30" i="5"/>
  <c r="B30" i="5"/>
  <c r="H31" i="5" l="1"/>
  <c r="B31" i="5"/>
  <c r="G31" i="5"/>
  <c r="E31" i="5"/>
  <c r="F31" i="5"/>
  <c r="D31" i="5"/>
  <c r="C31" i="5"/>
</calcChain>
</file>

<file path=xl/sharedStrings.xml><?xml version="1.0" encoding="utf-8"?>
<sst xmlns="http://schemas.openxmlformats.org/spreadsheetml/2006/main" count="228" uniqueCount="142">
  <si>
    <t>VM Module 3 — Templates</t>
  </si>
  <si>
    <t>MyProven Academy · The GRC Exit Track</t>
  </si>
  <si>
    <t>Prioritize the pre-loaded findings, assign SLAs/owners, then report metrics.</t>
  </si>
  <si>
    <t>Tabs:</t>
  </si>
  <si>
    <t xml:space="preserve">  Prioritization    → 20 findings pre-loaded; you add Priority</t>
  </si>
  <si>
    <t xml:space="preserve">  Remediation Tracker → SLA + owner + status</t>
  </si>
  <si>
    <t xml:space="preserve">  Metrics           → the numbers leadership reads</t>
  </si>
  <si>
    <t>Portfolio artifact: vm-03-remediation-report (section capstone)</t>
  </si>
  <si>
    <t>Prioritization</t>
  </si>
  <si>
    <t>Module 3 · 20 findings pre-loaded — you fill Priority (1=first)</t>
  </si>
  <si>
    <t>Host</t>
  </si>
  <si>
    <t>CVE</t>
  </si>
  <si>
    <t>CVSS</t>
  </si>
  <si>
    <t>Severity</t>
  </si>
  <si>
    <t>KEV? (Y/N)</t>
  </si>
  <si>
    <t>EPSS</t>
  </si>
  <si>
    <t>Asset Criticality</t>
  </si>
  <si>
    <t>Priority (1=highest)</t>
  </si>
  <si>
    <t>web-prod-01</t>
  </si>
  <si>
    <t>CVE-2024-3094</t>
  </si>
  <si>
    <t>Critical</t>
  </si>
  <si>
    <t>Y</t>
  </si>
  <si>
    <t>H</t>
  </si>
  <si>
    <t>db-prod-02</t>
  </si>
  <si>
    <t>CVE-2023-44487</t>
  </si>
  <si>
    <t>High</t>
  </si>
  <si>
    <t>N</t>
  </si>
  <si>
    <t>app-prod-03</t>
  </si>
  <si>
    <t>CVE-2024-21413</t>
  </si>
  <si>
    <t>M</t>
  </si>
  <si>
    <t>test-lab-09</t>
  </si>
  <si>
    <t>CVE-2023-23397</t>
  </si>
  <si>
    <t>L</t>
  </si>
  <si>
    <t>dc-01</t>
  </si>
  <si>
    <t>CVE-2022-1388</t>
  </si>
  <si>
    <t>file-srv-04</t>
  </si>
  <si>
    <t>CVE-2023-34362</t>
  </si>
  <si>
    <t>vpn-gw-01</t>
  </si>
  <si>
    <t>CVE-2021-44228</t>
  </si>
  <si>
    <t>print-srv-07</t>
  </si>
  <si>
    <t>CVE-2023-4863</t>
  </si>
  <si>
    <t>ci-runner-05</t>
  </si>
  <si>
    <t>CVE-2024-1709</t>
  </si>
  <si>
    <t>backup-02</t>
  </si>
  <si>
    <t>CVE-2020-1472</t>
  </si>
  <si>
    <t>CVE-2023-27350</t>
  </si>
  <si>
    <t>CVE-2022-30190</t>
  </si>
  <si>
    <t>CVE-2023-38831</t>
  </si>
  <si>
    <t>CVE-2024-23897</t>
  </si>
  <si>
    <t>CVE-2023-0669</t>
  </si>
  <si>
    <t>CVE-2022-26134</t>
  </si>
  <si>
    <t>CVE-2021-34527</t>
  </si>
  <si>
    <t>CVE-2023-46604</t>
  </si>
  <si>
    <t>CVE-2024-27198</t>
  </si>
  <si>
    <t>CVE-2023-22515</t>
  </si>
  <si>
    <t>Priority = Severity × Exploitability (KEV/EPSS) × Asset criticality. KEV = fix now regardless of CVSS.</t>
  </si>
  <si>
    <t>Remediation Tracker</t>
  </si>
  <si>
    <t>Module 3 · assign SLA + owner + status</t>
  </si>
  <si>
    <t>Finding (CVE + host)</t>
  </si>
  <si>
    <t>SLA (days)</t>
  </si>
  <si>
    <t>Owner</t>
  </si>
  <si>
    <t>Remediation plan</t>
  </si>
  <si>
    <t>Status</t>
  </si>
  <si>
    <t>Due date</t>
  </si>
  <si>
    <t>CVE-2024-3094 / web-prod-01</t>
  </si>
  <si>
    <t>15</t>
  </si>
  <si>
    <t>IT Ops</t>
  </si>
  <si>
    <t>Patch OpenSSH; re-scan to verify</t>
  </si>
  <si>
    <t>Open</t>
  </si>
  <si>
    <t>2026-08-11</t>
  </si>
  <si>
    <t>Critical/KEV 15d · High 30d · Medium 90d · Low 180d or risk-accept (with approver).</t>
  </si>
  <si>
    <t>Executive Metrics</t>
  </si>
  <si>
    <t>Module 3 · the numbers leadership reads</t>
  </si>
  <si>
    <t>Metric</t>
  </si>
  <si>
    <t>This Period</t>
  </si>
  <si>
    <t>Target</t>
  </si>
  <si>
    <t>Trend</t>
  </si>
  <si>
    <t>Mean time to remediate (MTTR)</t>
  </si>
  <si>
    <t>≤ 30 days</t>
  </si>
  <si>
    <t>SLA compliance %</t>
  </si>
  <si>
    <t>≥ 90%</t>
  </si>
  <si>
    <t>Open Critical/High findings</t>
  </si>
  <si>
    <t>↓</t>
  </si>
  <si>
    <t>Scan coverage %</t>
  </si>
  <si>
    <t>≥ 95%</t>
  </si>
  <si>
    <t>Put these four numbers at the top of your executive report.</t>
  </si>
  <si>
    <t>Scoring Model (edit weights)</t>
  </si>
  <si>
    <t>Weight</t>
  </si>
  <si>
    <t>KEV multiplier (actively exploited)</t>
  </si>
  <si>
    <t>Non-KEV multiplier</t>
  </si>
  <si>
    <t>Asset criticality — H</t>
  </si>
  <si>
    <t>Asset criticality — M</t>
  </si>
  <si>
    <t>Asset criticality — L</t>
  </si>
  <si>
    <t>EPSS weight</t>
  </si>
  <si>
    <t>Score = CVSS × (1 + EPSS×wt) × KEV mult × Criticality mult</t>
  </si>
  <si>
    <t>Risk Score</t>
  </si>
  <si>
    <t>Vulnerability Management Dashboard</t>
  </si>
  <si>
    <t>Module 3 · live view of the 20 findings on the Prioritization sheet</t>
  </si>
  <si>
    <t>Total Findings</t>
  </si>
  <si>
    <t>KEV (Exploited)</t>
  </si>
  <si>
    <t>High-Crit Assets</t>
  </si>
  <si>
    <t>Avg Risk Score</t>
  </si>
  <si>
    <t>Max Risk Score</t>
  </si>
  <si>
    <t>Breakdown by Severity</t>
  </si>
  <si>
    <t>Count</t>
  </si>
  <si>
    <t>% of Total</t>
  </si>
  <si>
    <t>Total</t>
  </si>
  <si>
    <t>Breakdown by Asset Criticality</t>
  </si>
  <si>
    <t>Criticality</t>
  </si>
  <si>
    <t>KEV Count</t>
  </si>
  <si>
    <t>Exploitability Segments</t>
  </si>
  <si>
    <t>Segment</t>
  </si>
  <si>
    <t>Avg EPSS</t>
  </si>
  <si>
    <t>KEV — actively exploited</t>
  </si>
  <si>
    <t>Non-KEV, EPSS at/above threshold</t>
  </si>
  <si>
    <t>Non-KEV, EPSS below threshold</t>
  </si>
  <si>
    <t>EPSS threshold (input)</t>
  </si>
  <si>
    <t>Remediation Coverage</t>
  </si>
  <si>
    <t>Measure</t>
  </si>
  <si>
    <t>Value</t>
  </si>
  <si>
    <t>Findings logged in tracker</t>
  </si>
  <si>
    <t>Findings not yet assigned</t>
  </si>
  <si>
    <t>Coverage %</t>
  </si>
  <si>
    <t>Top 10 Findings by Risk Score</t>
  </si>
  <si>
    <t>Priority</t>
  </si>
  <si>
    <t>KEV?</t>
  </si>
  <si>
    <t>Chart data — Top 10 (do not edit)</t>
  </si>
  <si>
    <t>Finding</t>
  </si>
  <si>
    <t>Executive Summary — 5 Things Management Needs to Know</t>
  </si>
  <si>
    <t>#</t>
  </si>
  <si>
    <t>What management needs to know</t>
  </si>
  <si>
    <t>Remediation required</t>
  </si>
  <si>
    <t>SLA</t>
  </si>
  <si>
    <t>Log4Shell (CVE-2021-44228, CVSS 10.0) is still open on the internet-facing VPN gateway more than four years after disclosure. This is a patch-management process failure, not an isolated miss — it should be treated as an audit finding in its own right.</t>
  </si>
  <si>
    <t>Stand up an emergency KEV patch cycle. Clear the top 5 ranked findings (web-prod-01, dc-01, vpn-gw-01, print-srv-07, file-srv-04) in an out-of-band change window, then the remaining 8 KEV items in the normal cycle. Re-scan to verify each fix.</t>
  </si>
  <si>
    <t>Sequence remediation by asset criticality, not CVSS. Patch dc-01, vpn-gw-01, web-prod-01 and db-prod-02 before any lab or print infrastructure. Require change-advisory sign-off for the domain controller and VPN gateway.</t>
  </si>
  <si>
    <t>Populate the Remediation Tracker for all 20 findings within 48 hours — owner, plan, status and due date on every row. Nominate a single accountable owner per host and report coverage % weekly.</t>
  </si>
  <si>
    <t>Patch or decommission the affected VPN gateway service, then run a root-cause review of why a CVSS 10.0 KEV item survived four years of patch cycles. Add a monthly KEV-vs-estate reconciliation check.</t>
  </si>
  <si>
    <t>Treat high-EPSS non-KEV findings as KEV-equivalent. Patch CVE-2022-30190 on db-prod-02 under the 30-day High SLA and add an EPSS ≥ 70% trigger to the prioritisation policy.</t>
  </si>
  <si>
    <t>15 days</t>
  </si>
  <si>
    <t>48 hours</t>
  </si>
  <si>
    <t>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</si>
</sst>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8"/>
      <color rgb="FF0C102B"/>
      <name val="Arial"/>
    </font>
    <font>
      <b/>
      <sz val="12"/>
      <color rgb="FFF5A623"/>
      <name val="Arial"/>
    </font>
    <font>
      <sz val="11"/>
      <color rgb="FF1A2A38"/>
      <name val="Arial"/>
    </font>
    <font>
      <b/>
      <sz val="12"/>
      <color rgb="FF0C102B"/>
      <name val="Arial"/>
    </font>
    <font>
      <b/>
      <sz val="15"/>
      <color rgb="FF0C102B"/>
      <name val="Arial"/>
    </font>
    <font>
      <i/>
      <sz val="9"/>
      <color rgb="FF5A6B7A"/>
      <name val="Arial"/>
    </font>
    <font>
      <b/>
      <sz val="11"/>
      <color rgb="FF0C102B"/>
      <name val="Arial"/>
    </font>
    <font>
      <sz val="10"/>
      <name val="Arial"/>
    </font>
    <font>
      <i/>
      <sz val="10"/>
      <color rgb="FF1A2A38"/>
      <name val="Arial"/>
    </font>
    <font>
      <sz val="11"/>
      <color rgb="FF0000FF"/>
      <name val="Calibri"/>
      <family val="2"/>
      <scheme val="minor"/>
    </font>
    <font>
      <sz val="10"/>
      <color theme="1"/>
      <name val="Arial"/>
    </font>
    <font>
      <sz val="10"/>
      <color rgb="FF0000FF"/>
      <name val="Arial"/>
    </font>
    <font>
      <i/>
      <sz val="9"/>
      <color rgb="FF5A6B7A"/>
      <name val="Calibri"/>
      <family val="2"/>
      <scheme val="minor"/>
    </font>
    <font>
      <b/>
      <sz val="10"/>
      <color rgb="FF0C102B"/>
      <name val="Arial"/>
    </font>
    <font>
      <b/>
      <sz val="10"/>
      <color theme="1"/>
      <name val="Arial"/>
    </font>
    <font>
      <b/>
      <sz val="14"/>
      <color theme="1"/>
      <name val="Arial"/>
    </font>
    <font>
      <b/>
      <sz val="13"/>
      <color rgb="FF0C102B"/>
      <name val="Arial"/>
    </font>
  </fonts>
  <fills count="6">
    <fill>
      <patternFill patternType="none"/>
    </fill>
    <fill>
      <patternFill patternType="gray125"/>
    </fill>
    <fill>
      <patternFill patternType="solid">
        <fgColor rgb="FFF5A623"/>
      </patternFill>
    </fill>
    <fill>
      <patternFill patternType="solid">
        <fgColor rgb="FFFBF0D8"/>
      </patternFill>
    </fill>
    <fill>
      <patternFill patternType="solid">
        <fgColor rgb="FFF5A623"/>
        <bgColor indexed="64"/>
      </patternFill>
    </fill>
    <fill>
      <patternFill patternType="solid">
        <fgColor rgb="FFFBF0D8"/>
        <bgColor indexed="64"/>
      </patternFill>
    </fill>
  </fills>
  <borders count="4">
    <border>
      <left/>
      <right/>
      <top/>
      <bottom/>
      <diagonal/>
    </border>
    <border>
      <left style="thin">
        <color rgb="FFC9D4DA"/>
      </left>
      <right style="thin">
        <color rgb="FFC9D4DA"/>
      </right>
      <top style="thin">
        <color rgb="FFC9D4DA"/>
      </top>
      <bottom style="thin">
        <color rgb="FFC9D4DA"/>
      </bottom>
      <diagonal/>
    </border>
    <border>
      <left style="thin">
        <color rgb="FFC9D4DA"/>
      </left>
      <right/>
      <top/>
      <bottom/>
      <diagonal/>
    </border>
    <border>
      <left style="thin">
        <color rgb="FFC9D4DA"/>
      </left>
      <right style="thin">
        <color rgb="FFC9D4DA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7" fillId="4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7" fillId="4" borderId="3" xfId="0" applyFont="1" applyFill="1" applyBorder="1" applyAlignment="1">
      <alignment horizontal="center" vertical="center" wrapText="1"/>
    </xf>
    <xf numFmtId="164" fontId="11" fillId="0" borderId="0" xfId="0" applyNumberFormat="1" applyFont="1"/>
    <xf numFmtId="0" fontId="8" fillId="0" borderId="1" xfId="0" applyFont="1" applyBorder="1" applyAlignment="1">
      <alignment horizontal="center" vertical="top" wrapText="1"/>
    </xf>
    <xf numFmtId="2" fontId="12" fillId="0" borderId="0" xfId="0" applyNumberFormat="1" applyFont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3" fillId="0" borderId="0" xfId="0" applyFont="1"/>
    <xf numFmtId="9" fontId="10" fillId="0" borderId="0" xfId="0" applyNumberFormat="1" applyFont="1"/>
    <xf numFmtId="164" fontId="8" fillId="0" borderId="1" xfId="0" applyNumberFormat="1" applyFont="1" applyBorder="1" applyAlignment="1">
      <alignment vertical="top" wrapText="1"/>
    </xf>
    <xf numFmtId="9" fontId="8" fillId="0" borderId="1" xfId="0" applyNumberFormat="1" applyFont="1" applyBorder="1" applyAlignment="1">
      <alignment vertical="top" wrapText="1"/>
    </xf>
    <xf numFmtId="164" fontId="0" fillId="0" borderId="0" xfId="0" applyNumberFormat="1"/>
    <xf numFmtId="0" fontId="14" fillId="4" borderId="0" xfId="0" applyFont="1" applyFill="1" applyAlignment="1">
      <alignment horizontal="center"/>
    </xf>
    <xf numFmtId="0" fontId="14" fillId="4" borderId="0" xfId="0" applyFont="1" applyFill="1" applyBorder="1" applyAlignment="1">
      <alignment horizontal="center"/>
    </xf>
    <xf numFmtId="0" fontId="11" fillId="0" borderId="1" xfId="0" applyFont="1" applyBorder="1"/>
    <xf numFmtId="164" fontId="11" fillId="0" borderId="1" xfId="0" applyNumberFormat="1" applyFont="1" applyBorder="1"/>
    <xf numFmtId="9" fontId="11" fillId="0" borderId="1" xfId="0" applyNumberFormat="1" applyFont="1" applyBorder="1"/>
    <xf numFmtId="0" fontId="15" fillId="0" borderId="1" xfId="0" applyFont="1" applyBorder="1"/>
    <xf numFmtId="1" fontId="16" fillId="5" borderId="1" xfId="0" applyNumberFormat="1" applyFont="1" applyFill="1" applyBorder="1" applyAlignment="1">
      <alignment horizontal="center"/>
    </xf>
    <xf numFmtId="164" fontId="16" fillId="5" borderId="1" xfId="0" applyNumberFormat="1" applyFont="1" applyFill="1" applyBorder="1" applyAlignment="1">
      <alignment horizontal="center"/>
    </xf>
    <xf numFmtId="9" fontId="15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7" fillId="0" borderId="0" xfId="0" applyFont="1"/>
    <xf numFmtId="0" fontId="14" fillId="4" borderId="0" xfId="0" applyFont="1" applyFill="1" applyAlignment="1">
      <alignment horizontal="center"/>
    </xf>
    <xf numFmtId="0" fontId="11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Findings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Dashboard!$A$9:$A$10</c:f>
              <c:strCache>
                <c:ptCount val="2"/>
                <c:pt idx="0">
                  <c:v>Critical</c:v>
                </c:pt>
                <c:pt idx="1">
                  <c:v>High</c:v>
                </c:pt>
              </c:strCache>
            </c:strRef>
          </c:cat>
          <c:val>
            <c:numRef>
              <c:f>Dashboard!$B$9:$B$10</c:f>
              <c:numCache>
                <c:formatCode>General</c:formatCode>
                <c:ptCount val="2"/>
                <c:pt idx="0">
                  <c:v>14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1-45F8-9D0E-6BCD13103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Findings by Asset Criticality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Dashboard!$E$9:$E$11</c:f>
              <c:strCache>
                <c:ptCount val="3"/>
                <c:pt idx="0">
                  <c:v>H</c:v>
                </c:pt>
                <c:pt idx="1">
                  <c:v>M</c:v>
                </c:pt>
                <c:pt idx="2">
                  <c:v>L</c:v>
                </c:pt>
              </c:strCache>
            </c:strRef>
          </c:cat>
          <c:val>
            <c:numRef>
              <c:f>Dashboard!$F$9:$F$11</c:f>
              <c:numCache>
                <c:formatCode>General</c:formatCode>
                <c:ptCount val="3"/>
                <c:pt idx="0">
                  <c:v>8</c:v>
                </c:pt>
                <c:pt idx="1">
                  <c:v>10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5-4929-89CD-E0461633E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196704"/>
        <c:axId val="620574736"/>
      </c:barChart>
      <c:catAx>
        <c:axId val="52819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574736"/>
        <c:crosses val="autoZero"/>
        <c:auto val="1"/>
        <c:lblAlgn val="ctr"/>
        <c:lblOffset val="100"/>
        <c:noMultiLvlLbl val="0"/>
      </c:catAx>
      <c:valAx>
        <c:axId val="6205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19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Findings by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Dashboard!$K$35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Dashboard!$J$36:$J$45</c:f>
              <c:strCache>
                <c:ptCount val="10"/>
                <c:pt idx="0">
                  <c:v>CVE-2024-3094 / web-prod-01</c:v>
                </c:pt>
                <c:pt idx="1">
                  <c:v>CVE-2022-1388 / dc-01</c:v>
                </c:pt>
                <c:pt idx="2">
                  <c:v>CVE-2021-44228 / vpn-gw-01</c:v>
                </c:pt>
                <c:pt idx="3">
                  <c:v>CVE-2023-46604 / print-srv-07</c:v>
                </c:pt>
                <c:pt idx="4">
                  <c:v>CVE-2022-26134 / file-srv-04</c:v>
                </c:pt>
                <c:pt idx="5">
                  <c:v>CVE-2024-21413 / app-prod-03</c:v>
                </c:pt>
                <c:pt idx="6">
                  <c:v>CVE-2023-27350 / web-prod-01</c:v>
                </c:pt>
                <c:pt idx="7">
                  <c:v>CVE-2023-22515 / backup-02</c:v>
                </c:pt>
                <c:pt idx="8">
                  <c:v>CVE-2023-34362 / file-srv-04</c:v>
                </c:pt>
                <c:pt idx="9">
                  <c:v>CVE-2022-30190 / db-prod-02</c:v>
                </c:pt>
              </c:strCache>
            </c:strRef>
          </c:cat>
          <c:val>
            <c:numRef>
              <c:f>Dashboard!$K$36:$K$45</c:f>
              <c:numCache>
                <c:formatCode>0.0</c:formatCode>
                <c:ptCount val="10"/>
                <c:pt idx="0">
                  <c:v>42.997500000000002</c:v>
                </c:pt>
                <c:pt idx="1">
                  <c:v>36.162000000000006</c:v>
                </c:pt>
                <c:pt idx="2">
                  <c:v>33.300000000000004</c:v>
                </c:pt>
                <c:pt idx="3">
                  <c:v>28.799999999999997</c:v>
                </c:pt>
                <c:pt idx="4">
                  <c:v>27.048000000000002</c:v>
                </c:pt>
                <c:pt idx="5">
                  <c:v>26.46</c:v>
                </c:pt>
                <c:pt idx="6">
                  <c:v>26.46</c:v>
                </c:pt>
                <c:pt idx="7">
                  <c:v>24.900000000000002</c:v>
                </c:pt>
                <c:pt idx="8">
                  <c:v>22.785000000000004</c:v>
                </c:pt>
                <c:pt idx="9">
                  <c:v>22.229999999999997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D-4292-BED1-BB49B237B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8204128"/>
        <c:axId val="620617936"/>
      </c:barChart>
      <c:catAx>
        <c:axId val="52820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17936"/>
        <c:crosses val="autoZero"/>
        <c:auto val="1"/>
        <c:lblAlgn val="ctr"/>
        <c:lblOffset val="100"/>
        <c:noMultiLvlLbl val="0"/>
      </c:catAx>
      <c:valAx>
        <c:axId val="62061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0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606425</xdr:colOff>
      <xdr:row>3</xdr:row>
      <xdr:rowOff>0</xdr:rowOff>
    </xdr:from>
    <xdr:to>
      <xdr:col>14</xdr:col>
      <xdr:colOff>606425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179273-0546-46C1-D234-C9013E2B3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606425</xdr:colOff>
      <xdr:row>18</xdr:row>
      <xdr:rowOff>0</xdr:rowOff>
    </xdr:from>
    <xdr:to>
      <xdr:col>14</xdr:col>
      <xdr:colOff>606425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CDCBF7-8C99-23DC-4FA4-C2CDDC097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606425</xdr:colOff>
      <xdr:row>3</xdr:row>
      <xdr:rowOff>0</xdr:rowOff>
    </xdr:from>
    <xdr:to>
      <xdr:col>21</xdr:col>
      <xdr:colOff>606425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CB5E37-DFF5-A7E0-6D6C-B8D53B5F3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AB7322-8D55-4E6A-BCC9-11D6ED1DBD9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4c8c87d-7a8c-4ac3-8ffd-6447b941e57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showGridLines="0" workbookViewId="0"/>
  </sheetViews>
  <sheetFormatPr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5.75" x14ac:dyDescent="0.25">
      <c r="A2" s="2" t="s">
        <v>1</v>
      </c>
    </row>
    <row r="4" spans="1:1" x14ac:dyDescent="0.25">
      <c r="A4" s="3"/>
    </row>
    <row r="5" spans="1:1" x14ac:dyDescent="0.25">
      <c r="A5" s="3" t="s">
        <v>2</v>
      </c>
    </row>
    <row r="6" spans="1:1" x14ac:dyDescent="0.25">
      <c r="A6" s="3"/>
    </row>
    <row r="7" spans="1:1" ht="15.75" x14ac:dyDescent="0.25">
      <c r="A7" s="4" t="s">
        <v>3</v>
      </c>
    </row>
    <row r="8" spans="1:1" x14ac:dyDescent="0.25">
      <c r="A8" s="3" t="s">
        <v>4</v>
      </c>
    </row>
    <row r="9" spans="1:1" x14ac:dyDescent="0.25">
      <c r="A9" s="3" t="s">
        <v>5</v>
      </c>
    </row>
    <row r="10" spans="1:1" x14ac:dyDescent="0.25">
      <c r="A10" s="3" t="s">
        <v>6</v>
      </c>
    </row>
    <row r="11" spans="1:1" x14ac:dyDescent="0.25">
      <c r="A11" s="3"/>
    </row>
    <row r="12" spans="1:1" x14ac:dyDescent="0.25">
      <c r="A12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E38C-A80F-4855-A084-C88C4988BBC5}">
  <dimension ref="A1:K45"/>
  <sheetViews>
    <sheetView showGridLines="0" tabSelected="1" zoomScaleNormal="100" workbookViewId="0">
      <pane ySplit="3" topLeftCell="A4" activePane="bottomLeft" state="frozen"/>
      <selection pane="bottomLeft" activeCell="L56" sqref="L56"/>
    </sheetView>
  </sheetViews>
  <sheetFormatPr defaultRowHeight="15" x14ac:dyDescent="0.25"/>
  <cols>
    <col min="1" max="1" width="33.28515625" customWidth="1"/>
    <col min="2" max="8" width="20" customWidth="1"/>
  </cols>
  <sheetData>
    <row r="1" spans="1:8" ht="19.5" x14ac:dyDescent="0.3">
      <c r="A1" s="5" t="s">
        <v>96</v>
      </c>
    </row>
    <row r="2" spans="1:8" x14ac:dyDescent="0.25">
      <c r="A2" s="6" t="s">
        <v>97</v>
      </c>
    </row>
    <row r="4" spans="1:8" x14ac:dyDescent="0.25">
      <c r="A4" s="29" t="s">
        <v>98</v>
      </c>
      <c r="B4" s="29" t="s">
        <v>99</v>
      </c>
      <c r="C4" s="29" t="s">
        <v>20</v>
      </c>
      <c r="D4" s="29" t="s">
        <v>25</v>
      </c>
      <c r="E4" s="29" t="s">
        <v>100</v>
      </c>
      <c r="F4" s="29" t="s">
        <v>101</v>
      </c>
      <c r="G4" s="29" t="s">
        <v>102</v>
      </c>
    </row>
    <row r="5" spans="1:8" ht="18" x14ac:dyDescent="0.25">
      <c r="A5" s="34">
        <f>COUNTA(Prioritization!$B$5:$B$24)</f>
        <v>20</v>
      </c>
      <c r="B5" s="34">
        <f>COUNTIF(Prioritization!$E$5:$E$24,"Y")</f>
        <v>13</v>
      </c>
      <c r="C5" s="34">
        <f>COUNTIF(Prioritization!$D$5:$D$24,"Critical")</f>
        <v>14</v>
      </c>
      <c r="D5" s="34">
        <f>COUNTIF(Prioritization!$D$5:$D$24,"High")</f>
        <v>6</v>
      </c>
      <c r="E5" s="34">
        <f>COUNTIF(Prioritization!$G$5:$G$24,"H")</f>
        <v>8</v>
      </c>
      <c r="F5" s="35">
        <f>AVERAGE(Prioritization!$I$5:$I$24)</f>
        <v>22.840445000000006</v>
      </c>
      <c r="G5" s="35">
        <f>MAX(Prioritization!$I$5:$I$24)</f>
        <v>42.997500000000002</v>
      </c>
    </row>
    <row r="7" spans="1:8" x14ac:dyDescent="0.25">
      <c r="A7" s="22" t="s">
        <v>103</v>
      </c>
      <c r="E7" s="22" t="s">
        <v>107</v>
      </c>
    </row>
    <row r="8" spans="1:8" x14ac:dyDescent="0.25">
      <c r="A8" s="29" t="s">
        <v>13</v>
      </c>
      <c r="B8" s="29" t="s">
        <v>104</v>
      </c>
      <c r="C8" s="29" t="s">
        <v>105</v>
      </c>
      <c r="E8" s="29" t="s">
        <v>108</v>
      </c>
      <c r="F8" s="29" t="s">
        <v>104</v>
      </c>
      <c r="G8" s="29" t="s">
        <v>109</v>
      </c>
      <c r="H8" s="29" t="s">
        <v>101</v>
      </c>
    </row>
    <row r="9" spans="1:8" x14ac:dyDescent="0.25">
      <c r="A9" s="30" t="s">
        <v>20</v>
      </c>
      <c r="B9" s="30">
        <f>COUNTIF(Prioritization!$D$5:$D$24,$A9)</f>
        <v>14</v>
      </c>
      <c r="C9" s="32">
        <f>B9/$A$5</f>
        <v>0.7</v>
      </c>
      <c r="E9" s="30" t="s">
        <v>22</v>
      </c>
      <c r="F9" s="30">
        <f>COUNTIF(Prioritization!$G$5:$G$24,$E9)</f>
        <v>8</v>
      </c>
      <c r="G9" s="30">
        <f>COUNTIFS(Prioritization!$G$5:$G$24,$E9,Prioritization!$E$5:$E$24,"Y")</f>
        <v>4</v>
      </c>
      <c r="H9" s="31">
        <f>AVERAGEIF(Prioritization!$G$5:$G$24,$E9,Prioritization!$I$5:$I$24)</f>
        <v>26.957437500000001</v>
      </c>
    </row>
    <row r="10" spans="1:8" x14ac:dyDescent="0.25">
      <c r="A10" s="30" t="s">
        <v>25</v>
      </c>
      <c r="B10" s="30">
        <f>COUNTIF(Prioritization!$D$5:$D$24,$A10)</f>
        <v>6</v>
      </c>
      <c r="C10" s="32">
        <f>B10/$A$5</f>
        <v>0.3</v>
      </c>
      <c r="E10" s="30" t="s">
        <v>29</v>
      </c>
      <c r="F10" s="30">
        <f>COUNTIF(Prioritization!$G$5:$G$24,$E10)</f>
        <v>10</v>
      </c>
      <c r="G10" s="30">
        <f>COUNTIFS(Prioritization!$G$5:$G$24,$E10,Prioritization!$E$5:$E$24,"Y")</f>
        <v>7</v>
      </c>
      <c r="H10" s="31">
        <f>AVERAGEIF(Prioritization!$G$5:$G$24,$E10,Prioritization!$I$5:$I$24)</f>
        <v>21.186700000000005</v>
      </c>
    </row>
    <row r="11" spans="1:8" x14ac:dyDescent="0.25">
      <c r="A11" s="33" t="s">
        <v>106</v>
      </c>
      <c r="B11" s="33">
        <f>SUM(B9:B10)</f>
        <v>20</v>
      </c>
      <c r="C11" s="36">
        <f>SUM(C9:C10)</f>
        <v>1</v>
      </c>
      <c r="E11" s="30" t="s">
        <v>32</v>
      </c>
      <c r="F11" s="30">
        <f>COUNTIF(Prioritization!$G$5:$G$24,$E11)</f>
        <v>2</v>
      </c>
      <c r="G11" s="30">
        <f>COUNTIFS(Prioritization!$G$5:$G$24,$E11,Prioritization!$E$5:$E$24,"Y")</f>
        <v>2</v>
      </c>
      <c r="H11" s="31">
        <f>AVERAGEIF(Prioritization!$G$5:$G$24,$E11,Prioritization!$I$5:$I$24)</f>
        <v>14.641200000000001</v>
      </c>
    </row>
    <row r="13" spans="1:8" x14ac:dyDescent="0.25">
      <c r="A13" s="22" t="s">
        <v>110</v>
      </c>
      <c r="F13" s="22" t="s">
        <v>117</v>
      </c>
    </row>
    <row r="14" spans="1:8" x14ac:dyDescent="0.25">
      <c r="A14" s="29" t="s">
        <v>111</v>
      </c>
      <c r="B14" s="29" t="s">
        <v>104</v>
      </c>
      <c r="C14" s="29" t="s">
        <v>112</v>
      </c>
      <c r="D14" s="29" t="s">
        <v>101</v>
      </c>
      <c r="F14" s="29" t="s">
        <v>118</v>
      </c>
      <c r="G14" s="29"/>
      <c r="H14" s="29" t="s">
        <v>119</v>
      </c>
    </row>
    <row r="15" spans="1:8" x14ac:dyDescent="0.25">
      <c r="A15" s="30" t="s">
        <v>113</v>
      </c>
      <c r="B15" s="30">
        <f>COUNTIF(Prioritization!$E$5:$E$24,"Y")</f>
        <v>13</v>
      </c>
      <c r="C15" s="32">
        <f>AVERAGEIF(Prioritization!$E$5:$E$24,"Y",Prioritization!$F$5:$F$24)</f>
        <v>0.61153846153846159</v>
      </c>
      <c r="D15" s="31">
        <f>AVERAGEIF(Prioritization!$E$5:$E$24,"Y",Prioritization!$I$5:$I$24)</f>
        <v>25.926530769230773</v>
      </c>
      <c r="F15" s="30" t="s">
        <v>120</v>
      </c>
      <c r="G15" s="30"/>
      <c r="H15" s="30">
        <f>COUNTA('Remediation Tracker'!$A$5:$A$15)</f>
        <v>1</v>
      </c>
    </row>
    <row r="16" spans="1:8" x14ac:dyDescent="0.25">
      <c r="A16" s="30" t="s">
        <v>114</v>
      </c>
      <c r="B16" s="30">
        <f>COUNTIFS(Prioritization!$E$5:$E$24,"N",Prioritization!$F$5:$F$24,"&gt;="&amp;$B$18)</f>
        <v>4</v>
      </c>
      <c r="C16" s="32">
        <f>AVERAGEIFS(Prioritization!$F$5:$F$24,Prioritization!$E$5:$E$24,"N",Prioritization!$F$5:$F$24,"&gt;="&amp;$B$18)</f>
        <v>0.81499999999999995</v>
      </c>
      <c r="D16" s="31">
        <f>AVERAGEIFS(Prioritization!$I$5:$I$24,Prioritization!$E$5:$E$24,"N",Prioritization!$F$5:$F$24,"&gt;="&amp;$B$18)</f>
        <v>18.521000000000001</v>
      </c>
      <c r="F16" s="30" t="s">
        <v>121</v>
      </c>
      <c r="G16" s="30"/>
      <c r="H16" s="30">
        <f>$A$5-H15</f>
        <v>19</v>
      </c>
    </row>
    <row r="17" spans="1:8" x14ac:dyDescent="0.25">
      <c r="A17" s="30" t="s">
        <v>115</v>
      </c>
      <c r="B17" s="30">
        <f>COUNTIFS(Prioritization!$E$5:$E$24,"N",Prioritization!$F$5:$F$24,"&lt;"&amp;$B$18)</f>
        <v>3</v>
      </c>
      <c r="C17" s="32">
        <f>AVERAGEIFS(Prioritization!$F$5:$F$24,Prioritization!$E$5:$E$24,"N",Prioritization!$F$5:$F$24,"&lt;"&amp;$B$18)</f>
        <v>0.39999999999999997</v>
      </c>
      <c r="D17" s="31">
        <f>AVERAGEIFS(Prioritization!$I$5:$I$24,Prioritization!$E$5:$E$24,"N",Prioritization!$F$5:$F$24,"&lt;"&amp;$B$18)</f>
        <v>15.226666666666668</v>
      </c>
      <c r="F17" s="30" t="s">
        <v>122</v>
      </c>
      <c r="G17" s="30"/>
      <c r="H17" s="32">
        <f>H15/$A$5</f>
        <v>0.05</v>
      </c>
    </row>
    <row r="18" spans="1:8" x14ac:dyDescent="0.25">
      <c r="A18" s="23" t="s">
        <v>116</v>
      </c>
      <c r="B18" s="24">
        <v>0.7</v>
      </c>
    </row>
    <row r="20" spans="1:8" x14ac:dyDescent="0.25">
      <c r="A20" s="22" t="s">
        <v>123</v>
      </c>
    </row>
    <row r="21" spans="1:8" x14ac:dyDescent="0.25">
      <c r="A21" s="29" t="s">
        <v>124</v>
      </c>
      <c r="B21" s="29" t="s">
        <v>10</v>
      </c>
      <c r="C21" s="29" t="s">
        <v>11</v>
      </c>
      <c r="D21" s="29" t="s">
        <v>13</v>
      </c>
      <c r="E21" s="29" t="s">
        <v>12</v>
      </c>
      <c r="F21" s="29" t="s">
        <v>125</v>
      </c>
      <c r="G21" s="29" t="s">
        <v>15</v>
      </c>
      <c r="H21" s="29" t="s">
        <v>95</v>
      </c>
    </row>
    <row r="22" spans="1:8" x14ac:dyDescent="0.25">
      <c r="A22" s="37">
        <v>1</v>
      </c>
      <c r="B22" s="30" t="str">
        <f>INDEX(Prioritization!$A$5:$A$24,MATCH($A22,Prioritization!$H$5:$H$24,0))</f>
        <v>web-prod-01</v>
      </c>
      <c r="C22" s="30" t="str">
        <f>INDEX(Prioritization!$B$5:$B$24,MATCH($A22,Prioritization!$H$5:$H$24,0))</f>
        <v>CVE-2024-3094</v>
      </c>
      <c r="D22" s="30" t="str">
        <f>INDEX(Prioritization!$D$5:$D$24,MATCH($A22,Prioritization!$H$5:$H$24,0))</f>
        <v>Critical</v>
      </c>
      <c r="E22" s="31">
        <f>INDEX(Prioritization!$C$5:$C$24,MATCH($A22,Prioritization!$H$5:$H$24,0))</f>
        <v>9.8000000000000007</v>
      </c>
      <c r="F22" s="37" t="str">
        <f>INDEX(Prioritization!$E$5:$E$24,MATCH($A22,Prioritization!$H$5:$H$24,0))</f>
        <v>Y</v>
      </c>
      <c r="G22" s="32">
        <f>INDEX(Prioritization!$F$5:$F$24,MATCH($A22,Prioritization!$H$5:$H$24,0))</f>
        <v>0.95</v>
      </c>
      <c r="H22" s="31">
        <f>INDEX(Prioritization!$I$5:$I$24,MATCH($A22,Prioritization!$H$5:$H$24,0))</f>
        <v>42.997500000000002</v>
      </c>
    </row>
    <row r="23" spans="1:8" x14ac:dyDescent="0.25">
      <c r="A23" s="37">
        <f>A22+1</f>
        <v>2</v>
      </c>
      <c r="B23" s="30" t="str">
        <f>INDEX(Prioritization!$A$5:$A$24,MATCH($A23,Prioritization!$H$5:$H$24,0))</f>
        <v>dc-01</v>
      </c>
      <c r="C23" s="30" t="str">
        <f>INDEX(Prioritization!$B$5:$B$24,MATCH($A23,Prioritization!$H$5:$H$24,0))</f>
        <v>CVE-2022-1388</v>
      </c>
      <c r="D23" s="30" t="str">
        <f>INDEX(Prioritization!$D$5:$D$24,MATCH($A23,Prioritization!$H$5:$H$24,0))</f>
        <v>Critical</v>
      </c>
      <c r="E23" s="31">
        <f>INDEX(Prioritization!$C$5:$C$24,MATCH($A23,Prioritization!$H$5:$H$24,0))</f>
        <v>9.8000000000000007</v>
      </c>
      <c r="F23" s="37" t="str">
        <f>INDEX(Prioritization!$E$5:$E$24,MATCH($A23,Prioritization!$H$5:$H$24,0))</f>
        <v>Y</v>
      </c>
      <c r="G23" s="32">
        <f>INDEX(Prioritization!$F$5:$F$24,MATCH($A23,Prioritization!$H$5:$H$24,0))</f>
        <v>0.64</v>
      </c>
      <c r="H23" s="31">
        <f>INDEX(Prioritization!$I$5:$I$24,MATCH($A23,Prioritization!$H$5:$H$24,0))</f>
        <v>36.162000000000006</v>
      </c>
    </row>
    <row r="24" spans="1:8" x14ac:dyDescent="0.25">
      <c r="A24" s="37">
        <f t="shared" ref="A24:A31" si="0">A23+1</f>
        <v>3</v>
      </c>
      <c r="B24" s="30" t="str">
        <f>INDEX(Prioritization!$A$5:$A$24,MATCH($A24,Prioritization!$H$5:$H$24,0))</f>
        <v>vpn-gw-01</v>
      </c>
      <c r="C24" s="30" t="str">
        <f>INDEX(Prioritization!$B$5:$B$24,MATCH($A24,Prioritization!$H$5:$H$24,0))</f>
        <v>CVE-2021-44228</v>
      </c>
      <c r="D24" s="30" t="str">
        <f>INDEX(Prioritization!$D$5:$D$24,MATCH($A24,Prioritization!$H$5:$H$24,0))</f>
        <v>Critical</v>
      </c>
      <c r="E24" s="31">
        <f>INDEX(Prioritization!$C$5:$C$24,MATCH($A24,Prioritization!$H$5:$H$24,0))</f>
        <v>10</v>
      </c>
      <c r="F24" s="37" t="str">
        <f>INDEX(Prioritization!$E$5:$E$24,MATCH($A24,Prioritization!$H$5:$H$24,0))</f>
        <v>Y</v>
      </c>
      <c r="G24" s="32">
        <f>INDEX(Prioritization!$F$5:$F$24,MATCH($A24,Prioritization!$H$5:$H$24,0))</f>
        <v>0.48</v>
      </c>
      <c r="H24" s="31">
        <f>INDEX(Prioritization!$I$5:$I$24,MATCH($A24,Prioritization!$H$5:$H$24,0))</f>
        <v>33.300000000000004</v>
      </c>
    </row>
    <row r="25" spans="1:8" x14ac:dyDescent="0.25">
      <c r="A25" s="37">
        <f t="shared" si="0"/>
        <v>4</v>
      </c>
      <c r="B25" s="30" t="str">
        <f>INDEX(Prioritization!$A$5:$A$24,MATCH($A25,Prioritization!$H$5:$H$24,0))</f>
        <v>print-srv-07</v>
      </c>
      <c r="C25" s="30" t="str">
        <f>INDEX(Prioritization!$B$5:$B$24,MATCH($A25,Prioritization!$H$5:$H$24,0))</f>
        <v>CVE-2023-46604</v>
      </c>
      <c r="D25" s="30" t="str">
        <f>INDEX(Prioritization!$D$5:$D$24,MATCH($A25,Prioritization!$H$5:$H$24,0))</f>
        <v>Critical</v>
      </c>
      <c r="E25" s="31">
        <f>INDEX(Prioritization!$C$5:$C$24,MATCH($A25,Prioritization!$H$5:$H$24,0))</f>
        <v>10</v>
      </c>
      <c r="F25" s="37" t="str">
        <f>INDEX(Prioritization!$E$5:$E$24,MATCH($A25,Prioritization!$H$5:$H$24,0))</f>
        <v>Y</v>
      </c>
      <c r="G25" s="32">
        <f>INDEX(Prioritization!$F$5:$F$24,MATCH($A25,Prioritization!$H$5:$H$24,0))</f>
        <v>0.92</v>
      </c>
      <c r="H25" s="31">
        <f>INDEX(Prioritization!$I$5:$I$24,MATCH($A25,Prioritization!$H$5:$H$24,0))</f>
        <v>28.799999999999997</v>
      </c>
    </row>
    <row r="26" spans="1:8" x14ac:dyDescent="0.25">
      <c r="A26" s="37">
        <f t="shared" si="0"/>
        <v>5</v>
      </c>
      <c r="B26" s="30" t="str">
        <f>INDEX(Prioritization!$A$5:$A$24,MATCH($A26,Prioritization!$H$5:$H$24,0))</f>
        <v>file-srv-04</v>
      </c>
      <c r="C26" s="30" t="str">
        <f>INDEX(Prioritization!$B$5:$B$24,MATCH($A26,Prioritization!$H$5:$H$24,0))</f>
        <v>CVE-2022-26134</v>
      </c>
      <c r="D26" s="30" t="str">
        <f>INDEX(Prioritization!$D$5:$D$24,MATCH($A26,Prioritization!$H$5:$H$24,0))</f>
        <v>Critical</v>
      </c>
      <c r="E26" s="31">
        <f>INDEX(Prioritization!$C$5:$C$24,MATCH($A26,Prioritization!$H$5:$H$24,0))</f>
        <v>9.8000000000000007</v>
      </c>
      <c r="F26" s="37" t="str">
        <f>INDEX(Prioritization!$E$5:$E$24,MATCH($A26,Prioritization!$H$5:$H$24,0))</f>
        <v>Y</v>
      </c>
      <c r="G26" s="32">
        <f>INDEX(Prioritization!$F$5:$F$24,MATCH($A26,Prioritization!$H$5:$H$24,0))</f>
        <v>0.84</v>
      </c>
      <c r="H26" s="31">
        <f>INDEX(Prioritization!$I$5:$I$24,MATCH($A26,Prioritization!$H$5:$H$24,0))</f>
        <v>27.048000000000002</v>
      </c>
    </row>
    <row r="27" spans="1:8" x14ac:dyDescent="0.25">
      <c r="A27" s="37">
        <f t="shared" si="0"/>
        <v>6</v>
      </c>
      <c r="B27" s="30" t="str">
        <f>INDEX(Prioritization!$A$5:$A$24,MATCH($A27,Prioritization!$H$5:$H$24,0))</f>
        <v>app-prod-03</v>
      </c>
      <c r="C27" s="30" t="str">
        <f>INDEX(Prioritization!$B$5:$B$24,MATCH($A27,Prioritization!$H$5:$H$24,0))</f>
        <v>CVE-2024-21413</v>
      </c>
      <c r="D27" s="30" t="str">
        <f>INDEX(Prioritization!$D$5:$D$24,MATCH($A27,Prioritization!$H$5:$H$24,0))</f>
        <v>Critical</v>
      </c>
      <c r="E27" s="31">
        <f>INDEX(Prioritization!$C$5:$C$24,MATCH($A27,Prioritization!$H$5:$H$24,0))</f>
        <v>9.8000000000000007</v>
      </c>
      <c r="F27" s="37" t="str">
        <f>INDEX(Prioritization!$E$5:$E$24,MATCH($A27,Prioritization!$H$5:$H$24,0))</f>
        <v>Y</v>
      </c>
      <c r="G27" s="32">
        <f>INDEX(Prioritization!$F$5:$F$24,MATCH($A27,Prioritization!$H$5:$H$24,0))</f>
        <v>0.8</v>
      </c>
      <c r="H27" s="31">
        <f>INDEX(Prioritization!$I$5:$I$24,MATCH($A27,Prioritization!$H$5:$H$24,0))</f>
        <v>26.46</v>
      </c>
    </row>
    <row r="28" spans="1:8" x14ac:dyDescent="0.25">
      <c r="A28" s="37">
        <f t="shared" si="0"/>
        <v>7</v>
      </c>
      <c r="B28" s="30" t="str">
        <f>INDEX(Prioritization!$A$5:$A$24,MATCH($A28,Prioritization!$H$5:$H$24,0))</f>
        <v>web-prod-01</v>
      </c>
      <c r="C28" s="30" t="str">
        <f>INDEX(Prioritization!$B$5:$B$24,MATCH($A28,Prioritization!$H$5:$H$24,0))</f>
        <v>CVE-2023-27350</v>
      </c>
      <c r="D28" s="30" t="str">
        <f>INDEX(Prioritization!$D$5:$D$24,MATCH($A28,Prioritization!$H$5:$H$24,0))</f>
        <v>Critical</v>
      </c>
      <c r="E28" s="31">
        <f>INDEX(Prioritization!$C$5:$C$24,MATCH($A28,Prioritization!$H$5:$H$24,0))</f>
        <v>9.8000000000000007</v>
      </c>
      <c r="F28" s="37" t="str">
        <f>INDEX(Prioritization!$E$5:$E$24,MATCH($A28,Prioritization!$H$5:$H$24,0))</f>
        <v>Y</v>
      </c>
      <c r="G28" s="32">
        <f>INDEX(Prioritization!$F$5:$F$24,MATCH($A28,Prioritization!$H$5:$H$24,0))</f>
        <v>0.2</v>
      </c>
      <c r="H28" s="31">
        <f>INDEX(Prioritization!$I$5:$I$24,MATCH($A28,Prioritization!$H$5:$H$24,0))</f>
        <v>26.46</v>
      </c>
    </row>
    <row r="29" spans="1:8" x14ac:dyDescent="0.25">
      <c r="A29" s="37">
        <f t="shared" si="0"/>
        <v>8</v>
      </c>
      <c r="B29" s="30" t="str">
        <f>INDEX(Prioritization!$A$5:$A$24,MATCH($A29,Prioritization!$H$5:$H$24,0))</f>
        <v>backup-02</v>
      </c>
      <c r="C29" s="30" t="str">
        <f>INDEX(Prioritization!$B$5:$B$24,MATCH($A29,Prioritization!$H$5:$H$24,0))</f>
        <v>CVE-2023-22515</v>
      </c>
      <c r="D29" s="30" t="str">
        <f>INDEX(Prioritization!$D$5:$D$24,MATCH($A29,Prioritization!$H$5:$H$24,0))</f>
        <v>Critical</v>
      </c>
      <c r="E29" s="31">
        <f>INDEX(Prioritization!$C$5:$C$24,MATCH($A29,Prioritization!$H$5:$H$24,0))</f>
        <v>10</v>
      </c>
      <c r="F29" s="37" t="str">
        <f>INDEX(Prioritization!$E$5:$E$24,MATCH($A29,Prioritization!$H$5:$H$24,0))</f>
        <v>Y</v>
      </c>
      <c r="G29" s="32">
        <f>INDEX(Prioritization!$F$5:$F$24,MATCH($A29,Prioritization!$H$5:$H$24,0))</f>
        <v>0.66</v>
      </c>
      <c r="H29" s="31">
        <f>INDEX(Prioritization!$I$5:$I$24,MATCH($A29,Prioritization!$H$5:$H$24,0))</f>
        <v>24.900000000000002</v>
      </c>
    </row>
    <row r="30" spans="1:8" x14ac:dyDescent="0.25">
      <c r="A30" s="37">
        <f t="shared" si="0"/>
        <v>9</v>
      </c>
      <c r="B30" s="30" t="str">
        <f>INDEX(Prioritization!$A$5:$A$24,MATCH($A30,Prioritization!$H$5:$H$24,0))</f>
        <v>file-srv-04</v>
      </c>
      <c r="C30" s="30" t="str">
        <f>INDEX(Prioritization!$B$5:$B$24,MATCH($A30,Prioritization!$H$5:$H$24,0))</f>
        <v>CVE-2023-34362</v>
      </c>
      <c r="D30" s="30" t="str">
        <f>INDEX(Prioritization!$D$5:$D$24,MATCH($A30,Prioritization!$H$5:$H$24,0))</f>
        <v>Critical</v>
      </c>
      <c r="E30" s="31">
        <f>INDEX(Prioritization!$C$5:$C$24,MATCH($A30,Prioritization!$H$5:$H$24,0))</f>
        <v>9.8000000000000007</v>
      </c>
      <c r="F30" s="37" t="str">
        <f>INDEX(Prioritization!$E$5:$E$24,MATCH($A30,Prioritization!$H$5:$H$24,0))</f>
        <v>Y</v>
      </c>
      <c r="G30" s="32">
        <f>INDEX(Prioritization!$F$5:$F$24,MATCH($A30,Prioritization!$H$5:$H$24,0))</f>
        <v>0.55000000000000004</v>
      </c>
      <c r="H30" s="31">
        <f>INDEX(Prioritization!$I$5:$I$24,MATCH($A30,Prioritization!$H$5:$H$24,0))</f>
        <v>22.785000000000004</v>
      </c>
    </row>
    <row r="31" spans="1:8" x14ac:dyDescent="0.25">
      <c r="A31" s="37">
        <f t="shared" si="0"/>
        <v>10</v>
      </c>
      <c r="B31" s="30" t="str">
        <f>INDEX(Prioritization!$A$5:$A$24,MATCH($A31,Prioritization!$H$5:$H$24,0))</f>
        <v>db-prod-02</v>
      </c>
      <c r="C31" s="30" t="str">
        <f>INDEX(Prioritization!$B$5:$B$24,MATCH($A31,Prioritization!$H$5:$H$24,0))</f>
        <v>CVE-2022-30190</v>
      </c>
      <c r="D31" s="30" t="str">
        <f>INDEX(Prioritization!$D$5:$D$24,MATCH($A31,Prioritization!$H$5:$H$24,0))</f>
        <v>High</v>
      </c>
      <c r="E31" s="31">
        <f>INDEX(Prioritization!$C$5:$C$24,MATCH($A31,Prioritization!$H$5:$H$24,0))</f>
        <v>7.8</v>
      </c>
      <c r="F31" s="37" t="str">
        <f>INDEX(Prioritization!$E$5:$E$24,MATCH($A31,Prioritization!$H$5:$H$24,0))</f>
        <v>N</v>
      </c>
      <c r="G31" s="32">
        <f>INDEX(Prioritization!$F$5:$F$24,MATCH($A31,Prioritization!$H$5:$H$24,0))</f>
        <v>0.9</v>
      </c>
      <c r="H31" s="31">
        <f>INDEX(Prioritization!$I$5:$I$24,MATCH($A31,Prioritization!$H$5:$H$24,0))</f>
        <v>22.229999999999997</v>
      </c>
    </row>
    <row r="33" spans="1:11" ht="16.5" x14ac:dyDescent="0.25">
      <c r="A33" s="38" t="s">
        <v>128</v>
      </c>
    </row>
    <row r="34" spans="1:11" x14ac:dyDescent="0.25">
      <c r="A34" s="28" t="s">
        <v>129</v>
      </c>
      <c r="B34" s="39" t="s">
        <v>130</v>
      </c>
      <c r="C34" s="39"/>
      <c r="D34" s="39"/>
      <c r="E34" s="39" t="s">
        <v>131</v>
      </c>
      <c r="F34" s="39"/>
      <c r="G34" s="39"/>
      <c r="H34" s="28" t="s">
        <v>132</v>
      </c>
      <c r="J34" s="23" t="s">
        <v>126</v>
      </c>
    </row>
    <row r="35" spans="1:11" ht="75.95" customHeight="1" x14ac:dyDescent="0.25">
      <c r="A35" s="41">
        <v>1</v>
      </c>
      <c r="B35" s="40" t="str">
        <f>"Two-thirds of the estate is under active attack: "&amp;$B$5&amp;" of "&amp;$A$5&amp;" findings ("&amp;TEXT($B$5/$A$5,"0%")&amp;") are on the CISA KEV list, meaning confirmed real-world exploitation. Nine of the top ten ranked findings are KEV."</f>
        <v>Two-thirds of the estate is under active attack: 13 of 20 findings (65%) are on the CISA KEV list, meaning confirmed real-world exploitation. Nine of the top ten ranked findings are KEV.</v>
      </c>
      <c r="C35" s="40"/>
      <c r="D35" s="40"/>
      <c r="E35" s="40" t="s">
        <v>134</v>
      </c>
      <c r="F35" s="40"/>
      <c r="G35" s="40"/>
      <c r="H35" s="41" t="s">
        <v>139</v>
      </c>
      <c r="J35" t="s">
        <v>127</v>
      </c>
      <c r="K35" t="s">
        <v>95</v>
      </c>
    </row>
    <row r="36" spans="1:11" ht="75.95" customHeight="1" x14ac:dyDescent="0.25">
      <c r="A36" s="41">
        <v>2</v>
      </c>
      <c r="B36" s="40" t="str">
        <f>"Crown-jewel systems are exposed: "&amp;$E$5&amp;" findings sit on high-criticality assets (avg risk score "&amp;TEXT($H$9,"0.0")&amp;" vs "&amp;TEXT($H$11,"0.0")&amp;" for low-criticality). The domain controller (dc-01) and the internet-facing VPN gateway are both in the top three."</f>
        <v>Crown-jewel systems are exposed: 8 findings sit on high-criticality assets (avg risk score 27.0 vs 14.6 for low-criticality). The domain controller (dc-01) and the internet-facing VPN gateway are both in the top three.</v>
      </c>
      <c r="C36" s="40"/>
      <c r="D36" s="40"/>
      <c r="E36" s="40" t="s">
        <v>135</v>
      </c>
      <c r="F36" s="40"/>
      <c r="G36" s="40"/>
      <c r="H36" s="41" t="s">
        <v>139</v>
      </c>
      <c r="J36" t="str">
        <f>C22&amp;" / "&amp;B22</f>
        <v>CVE-2024-3094 / web-prod-01</v>
      </c>
      <c r="K36" s="27">
        <f>H22</f>
        <v>42.997500000000002</v>
      </c>
    </row>
    <row r="37" spans="1:11" ht="75.95" customHeight="1" x14ac:dyDescent="0.25">
      <c r="A37" s="41">
        <v>3</v>
      </c>
      <c r="B37" s="40" t="str">
        <f>"There is effectively no remediation programme yet: only "&amp;$H$15&amp;" of "&amp;$A$5&amp;" findings ("&amp;TEXT($H$17,"0%")&amp;") has an owner, plan and due date. The other "&amp;$H$16&amp;" are untracked and cannot be reported on or escalated."</f>
        <v>There is effectively no remediation programme yet: only 1 of 20 findings (5%) has an owner, plan and due date. The other 19 are untracked and cannot be reported on or escalated.</v>
      </c>
      <c r="C37" s="40"/>
      <c r="D37" s="40"/>
      <c r="E37" s="40" t="s">
        <v>136</v>
      </c>
      <c r="F37" s="40"/>
      <c r="G37" s="40"/>
      <c r="H37" s="41" t="s">
        <v>140</v>
      </c>
      <c r="J37" t="str">
        <f t="shared" ref="J37:J45" si="1">C23&amp;" / "&amp;B23</f>
        <v>CVE-2022-1388 / dc-01</v>
      </c>
      <c r="K37" s="27">
        <f t="shared" ref="K37:K45" si="2">H23</f>
        <v>36.162000000000006</v>
      </c>
    </row>
    <row r="38" spans="1:11" ht="75.95" customHeight="1" x14ac:dyDescent="0.25">
      <c r="A38" s="41">
        <v>4</v>
      </c>
      <c r="B38" s="40" t="s">
        <v>133</v>
      </c>
      <c r="C38" s="40"/>
      <c r="D38" s="40"/>
      <c r="E38" s="40" t="s">
        <v>137</v>
      </c>
      <c r="F38" s="40"/>
      <c r="G38" s="40"/>
      <c r="H38" s="41" t="s">
        <v>139</v>
      </c>
      <c r="J38" t="str">
        <f t="shared" si="1"/>
        <v>CVE-2021-44228 / vpn-gw-01</v>
      </c>
      <c r="K38" s="27">
        <f t="shared" si="2"/>
        <v>33.300000000000004</v>
      </c>
    </row>
    <row r="39" spans="1:11" ht="75.95" customHeight="1" x14ac:dyDescent="0.25">
      <c r="A39" s="41">
        <v>5</v>
      </c>
      <c r="B39" s="40" t="str">
        <f>"One high-risk item is not covered by the KEV mandate: CVE-2022-30190 on db-prod-02 carries a "&amp;TEXT($G$31,"0%")&amp;" EPSS score on a high-criticality asset and ranks #"&amp;$A$31&amp;" overall. Compliance-only patching would miss it."</f>
        <v>One high-risk item is not covered by the KEV mandate: CVE-2022-30190 on db-prod-02 carries a 90% EPSS score on a high-criticality asset and ranks #10 overall. Compliance-only patching would miss it.</v>
      </c>
      <c r="C39" s="40"/>
      <c r="D39" s="40"/>
      <c r="E39" s="40" t="s">
        <v>138</v>
      </c>
      <c r="F39" s="40"/>
      <c r="G39" s="40"/>
      <c r="H39" s="41" t="s">
        <v>141</v>
      </c>
      <c r="J39" t="str">
        <f t="shared" si="1"/>
        <v>CVE-2023-46604 / print-srv-07</v>
      </c>
      <c r="K39" s="27">
        <f t="shared" si="2"/>
        <v>28.799999999999997</v>
      </c>
    </row>
    <row r="40" spans="1:11" x14ac:dyDescent="0.25">
      <c r="J40" t="str">
        <f t="shared" si="1"/>
        <v>CVE-2022-26134 / file-srv-04</v>
      </c>
      <c r="K40" s="27">
        <f t="shared" si="2"/>
        <v>27.048000000000002</v>
      </c>
    </row>
    <row r="41" spans="1:11" x14ac:dyDescent="0.25">
      <c r="J41" t="str">
        <f t="shared" si="1"/>
        <v>CVE-2024-21413 / app-prod-03</v>
      </c>
      <c r="K41" s="27">
        <f t="shared" si="2"/>
        <v>26.46</v>
      </c>
    </row>
    <row r="42" spans="1:11" x14ac:dyDescent="0.25">
      <c r="J42" t="str">
        <f t="shared" si="1"/>
        <v>CVE-2023-27350 / web-prod-01</v>
      </c>
      <c r="K42" s="27">
        <f t="shared" si="2"/>
        <v>26.46</v>
      </c>
    </row>
    <row r="43" spans="1:11" x14ac:dyDescent="0.25">
      <c r="J43" t="str">
        <f t="shared" si="1"/>
        <v>CVE-2023-22515 / backup-02</v>
      </c>
      <c r="K43" s="27">
        <f t="shared" si="2"/>
        <v>24.900000000000002</v>
      </c>
    </row>
    <row r="44" spans="1:11" x14ac:dyDescent="0.25">
      <c r="J44" t="str">
        <f t="shared" si="1"/>
        <v>CVE-2023-34362 / file-srv-04</v>
      </c>
      <c r="K44" s="27">
        <f t="shared" si="2"/>
        <v>22.785000000000004</v>
      </c>
    </row>
    <row r="45" spans="1:11" x14ac:dyDescent="0.25">
      <c r="J45" t="str">
        <f t="shared" si="1"/>
        <v>CVE-2022-30190 / db-prod-02</v>
      </c>
      <c r="K45" s="27">
        <f t="shared" si="2"/>
        <v>22.229999999999997</v>
      </c>
    </row>
  </sheetData>
  <mergeCells count="12">
    <mergeCell ref="B37:D37"/>
    <mergeCell ref="E37:G37"/>
    <mergeCell ref="B38:D38"/>
    <mergeCell ref="E38:G38"/>
    <mergeCell ref="B39:D39"/>
    <mergeCell ref="E39:G39"/>
    <mergeCell ref="B34:D34"/>
    <mergeCell ref="E34:G34"/>
    <mergeCell ref="B35:D35"/>
    <mergeCell ref="E35:G35"/>
    <mergeCell ref="B36:D36"/>
    <mergeCell ref="E36:G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showGridLines="0" workbookViewId="0">
      <pane ySplit="4" topLeftCell="A5" activePane="bottomLeft" state="frozen"/>
      <selection pane="bottomLeft" activeCell="A28" sqref="A28:H28"/>
    </sheetView>
  </sheetViews>
  <sheetFormatPr defaultColWidth="31.85546875" defaultRowHeight="15" x14ac:dyDescent="0.25"/>
  <cols>
    <col min="10" max="10" width="32" bestFit="1" customWidth="1"/>
    <col min="11" max="11" width="8" bestFit="1" customWidth="1"/>
  </cols>
  <sheetData>
    <row r="1" spans="1:11" ht="19.5" x14ac:dyDescent="0.3">
      <c r="A1" s="5" t="s">
        <v>8</v>
      </c>
    </row>
    <row r="2" spans="1:11" x14ac:dyDescent="0.25">
      <c r="A2" s="6" t="s">
        <v>9</v>
      </c>
    </row>
    <row r="4" spans="1:11" ht="30" customHeight="1" x14ac:dyDescent="0.25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  <c r="I4" s="16" t="s">
        <v>95</v>
      </c>
      <c r="J4" s="12" t="s">
        <v>86</v>
      </c>
      <c r="K4" s="12" t="s">
        <v>87</v>
      </c>
    </row>
    <row r="5" spans="1:11" x14ac:dyDescent="0.25">
      <c r="A5" s="8" t="s">
        <v>18</v>
      </c>
      <c r="B5" s="8" t="s">
        <v>19</v>
      </c>
      <c r="C5" s="25">
        <v>9.8000000000000007</v>
      </c>
      <c r="D5" s="8" t="s">
        <v>20</v>
      </c>
      <c r="E5" s="8" t="s">
        <v>21</v>
      </c>
      <c r="F5" s="26">
        <v>0.95</v>
      </c>
      <c r="G5" s="8" t="s">
        <v>22</v>
      </c>
      <c r="H5" s="21">
        <f>RANK(I5,$I$5:$I$24)+COUNTIF($I$5:I5,I5)-1</f>
        <v>1</v>
      </c>
      <c r="I5" s="17">
        <f>C5*(1+F5*$K$10)*IF(E5="Y",$K$5,$K$6)*IF(G5="H",$K$7,IF(G5="M",$K$8,$K$9))</f>
        <v>42.997500000000002</v>
      </c>
      <c r="J5" s="13" t="s">
        <v>88</v>
      </c>
      <c r="K5" s="19">
        <v>1.5</v>
      </c>
    </row>
    <row r="6" spans="1:11" x14ac:dyDescent="0.25">
      <c r="A6" s="8" t="s">
        <v>23</v>
      </c>
      <c r="B6" s="8" t="s">
        <v>24</v>
      </c>
      <c r="C6" s="25">
        <v>7.5</v>
      </c>
      <c r="D6" s="8" t="s">
        <v>25</v>
      </c>
      <c r="E6" s="8" t="s">
        <v>26</v>
      </c>
      <c r="F6" s="26">
        <v>0.88</v>
      </c>
      <c r="G6" s="8" t="s">
        <v>22</v>
      </c>
      <c r="H6" s="18">
        <f>RANK(I6,$I$5:$I$24)+COUNTIF($I$5:I6,I6)-1</f>
        <v>11</v>
      </c>
      <c r="I6" s="17">
        <f t="shared" ref="I6:I24" si="0">C6*(1+F6*$K$10)*IF(E6="Y",$K$5,$K$6)*IF(G6="H",$K$7,IF(G6="M",$K$8,$K$9))</f>
        <v>21.15</v>
      </c>
      <c r="J6" s="13" t="s">
        <v>89</v>
      </c>
      <c r="K6" s="19">
        <v>1</v>
      </c>
    </row>
    <row r="7" spans="1:11" x14ac:dyDescent="0.25">
      <c r="A7" s="8" t="s">
        <v>27</v>
      </c>
      <c r="B7" s="8" t="s">
        <v>28</v>
      </c>
      <c r="C7" s="25">
        <v>9.8000000000000007</v>
      </c>
      <c r="D7" s="8" t="s">
        <v>20</v>
      </c>
      <c r="E7" s="8" t="s">
        <v>21</v>
      </c>
      <c r="F7" s="26">
        <v>0.8</v>
      </c>
      <c r="G7" s="8" t="s">
        <v>29</v>
      </c>
      <c r="H7" s="18">
        <f>RANK(I7,$I$5:$I$24)+COUNTIF($I$5:I7,I7)-1</f>
        <v>6</v>
      </c>
      <c r="I7" s="17">
        <f t="shared" si="0"/>
        <v>26.46</v>
      </c>
      <c r="J7" s="13" t="s">
        <v>90</v>
      </c>
      <c r="K7" s="19">
        <v>1.5</v>
      </c>
    </row>
    <row r="8" spans="1:11" x14ac:dyDescent="0.25">
      <c r="A8" s="8" t="s">
        <v>30</v>
      </c>
      <c r="B8" s="8" t="s">
        <v>31</v>
      </c>
      <c r="C8" s="25">
        <v>9.8000000000000007</v>
      </c>
      <c r="D8" s="8" t="s">
        <v>20</v>
      </c>
      <c r="E8" s="8" t="s">
        <v>21</v>
      </c>
      <c r="F8" s="26">
        <v>0.72</v>
      </c>
      <c r="G8" s="8" t="s">
        <v>32</v>
      </c>
      <c r="H8" s="18">
        <f>RANK(I8,$I$5:$I$24)+COUNTIF($I$5:I8,I8)-1</f>
        <v>17</v>
      </c>
      <c r="I8" s="17">
        <f t="shared" si="0"/>
        <v>15.170400000000001</v>
      </c>
      <c r="J8" s="14" t="s">
        <v>91</v>
      </c>
      <c r="K8" s="20">
        <v>1</v>
      </c>
    </row>
    <row r="9" spans="1:11" x14ac:dyDescent="0.25">
      <c r="A9" s="8" t="s">
        <v>33</v>
      </c>
      <c r="B9" s="8" t="s">
        <v>34</v>
      </c>
      <c r="C9" s="25">
        <v>9.8000000000000007</v>
      </c>
      <c r="D9" s="8" t="s">
        <v>20</v>
      </c>
      <c r="E9" s="8" t="s">
        <v>21</v>
      </c>
      <c r="F9" s="26">
        <v>0.64</v>
      </c>
      <c r="G9" s="8" t="s">
        <v>22</v>
      </c>
      <c r="H9" s="18">
        <f>RANK(I9,$I$5:$I$24)+COUNTIF($I$5:I9,I9)-1</f>
        <v>2</v>
      </c>
      <c r="I9" s="17">
        <f t="shared" si="0"/>
        <v>36.162000000000006</v>
      </c>
      <c r="J9" s="14" t="s">
        <v>92</v>
      </c>
      <c r="K9" s="20">
        <v>0.6</v>
      </c>
    </row>
    <row r="10" spans="1:11" x14ac:dyDescent="0.25">
      <c r="A10" s="8" t="s">
        <v>35</v>
      </c>
      <c r="B10" s="8" t="s">
        <v>36</v>
      </c>
      <c r="C10" s="25">
        <v>9.8000000000000007</v>
      </c>
      <c r="D10" s="8" t="s">
        <v>20</v>
      </c>
      <c r="E10" s="8" t="s">
        <v>21</v>
      </c>
      <c r="F10" s="26">
        <v>0.55000000000000004</v>
      </c>
      <c r="G10" s="8" t="s">
        <v>29</v>
      </c>
      <c r="H10" s="18">
        <f>RANK(I10,$I$5:$I$24)+COUNTIF($I$5:I10,I10)-1</f>
        <v>9</v>
      </c>
      <c r="I10" s="17">
        <f t="shared" si="0"/>
        <v>22.785000000000004</v>
      </c>
      <c r="J10" s="14" t="s">
        <v>93</v>
      </c>
      <c r="K10" s="20">
        <v>1</v>
      </c>
    </row>
    <row r="11" spans="1:11" ht="24" x14ac:dyDescent="0.25">
      <c r="A11" s="8" t="s">
        <v>37</v>
      </c>
      <c r="B11" s="8" t="s">
        <v>38</v>
      </c>
      <c r="C11" s="25">
        <v>10</v>
      </c>
      <c r="D11" s="8" t="s">
        <v>20</v>
      </c>
      <c r="E11" s="8" t="s">
        <v>21</v>
      </c>
      <c r="F11" s="26">
        <v>0.48</v>
      </c>
      <c r="G11" s="8" t="s">
        <v>22</v>
      </c>
      <c r="H11" s="18">
        <f>RANK(I11,$I$5:$I$24)+COUNTIF($I$5:I11,I11)-1</f>
        <v>3</v>
      </c>
      <c r="I11" s="17">
        <f t="shared" si="0"/>
        <v>33.300000000000004</v>
      </c>
      <c r="J11" s="15" t="s">
        <v>94</v>
      </c>
    </row>
    <row r="12" spans="1:11" x14ac:dyDescent="0.25">
      <c r="A12" s="8" t="s">
        <v>39</v>
      </c>
      <c r="B12" s="8" t="s">
        <v>40</v>
      </c>
      <c r="C12" s="25">
        <v>8.8000000000000007</v>
      </c>
      <c r="D12" s="8" t="s">
        <v>25</v>
      </c>
      <c r="E12" s="8" t="s">
        <v>26</v>
      </c>
      <c r="F12" s="26">
        <v>0.4</v>
      </c>
      <c r="G12" s="8" t="s">
        <v>29</v>
      </c>
      <c r="H12" s="18">
        <f>RANK(I12,$I$5:$I$24)+COUNTIF($I$5:I12,I12)-1</f>
        <v>20</v>
      </c>
      <c r="I12" s="17">
        <f t="shared" si="0"/>
        <v>12.32</v>
      </c>
    </row>
    <row r="13" spans="1:11" x14ac:dyDescent="0.25">
      <c r="A13" s="8" t="s">
        <v>41</v>
      </c>
      <c r="B13" s="8" t="s">
        <v>42</v>
      </c>
      <c r="C13" s="25">
        <v>10</v>
      </c>
      <c r="D13" s="8" t="s">
        <v>20</v>
      </c>
      <c r="E13" s="8" t="s">
        <v>21</v>
      </c>
      <c r="F13" s="26">
        <v>0.33</v>
      </c>
      <c r="G13" s="8" t="s">
        <v>29</v>
      </c>
      <c r="H13" s="18">
        <f>RANK(I13,$I$5:$I$24)+COUNTIF($I$5:I13,I13)-1</f>
        <v>12</v>
      </c>
      <c r="I13" s="17">
        <f t="shared" si="0"/>
        <v>19.950000000000003</v>
      </c>
    </row>
    <row r="14" spans="1:11" x14ac:dyDescent="0.25">
      <c r="A14" s="8" t="s">
        <v>43</v>
      </c>
      <c r="B14" s="8" t="s">
        <v>44</v>
      </c>
      <c r="C14" s="25">
        <v>10</v>
      </c>
      <c r="D14" s="8" t="s">
        <v>20</v>
      </c>
      <c r="E14" s="8" t="s">
        <v>21</v>
      </c>
      <c r="F14" s="26">
        <v>0.26</v>
      </c>
      <c r="G14" s="8" t="s">
        <v>29</v>
      </c>
      <c r="H14" s="18">
        <f>RANK(I14,$I$5:$I$24)+COUNTIF($I$5:I14,I14)-1</f>
        <v>13</v>
      </c>
      <c r="I14" s="17">
        <f t="shared" si="0"/>
        <v>18.899999999999999</v>
      </c>
    </row>
    <row r="15" spans="1:11" x14ac:dyDescent="0.25">
      <c r="A15" s="8" t="s">
        <v>18</v>
      </c>
      <c r="B15" s="8" t="s">
        <v>45</v>
      </c>
      <c r="C15" s="25">
        <v>9.8000000000000007</v>
      </c>
      <c r="D15" s="8" t="s">
        <v>20</v>
      </c>
      <c r="E15" s="8" t="s">
        <v>21</v>
      </c>
      <c r="F15" s="26">
        <v>0.2</v>
      </c>
      <c r="G15" s="8" t="s">
        <v>22</v>
      </c>
      <c r="H15" s="18">
        <f>RANK(I15,$I$5:$I$24)+COUNTIF($I$5:I15,I15)-1</f>
        <v>7</v>
      </c>
      <c r="I15" s="17">
        <f t="shared" si="0"/>
        <v>26.46</v>
      </c>
    </row>
    <row r="16" spans="1:11" x14ac:dyDescent="0.25">
      <c r="A16" s="8" t="s">
        <v>23</v>
      </c>
      <c r="B16" s="8" t="s">
        <v>46</v>
      </c>
      <c r="C16" s="25">
        <v>7.8</v>
      </c>
      <c r="D16" s="8" t="s">
        <v>25</v>
      </c>
      <c r="E16" s="8" t="s">
        <v>26</v>
      </c>
      <c r="F16" s="26">
        <v>0.9</v>
      </c>
      <c r="G16" s="8" t="s">
        <v>22</v>
      </c>
      <c r="H16" s="18">
        <f>RANK(I16,$I$5:$I$24)+COUNTIF($I$5:I16,I16)-1</f>
        <v>10</v>
      </c>
      <c r="I16" s="17">
        <f t="shared" si="0"/>
        <v>22.229999999999997</v>
      </c>
    </row>
    <row r="17" spans="1:9" x14ac:dyDescent="0.25">
      <c r="A17" s="8" t="s">
        <v>27</v>
      </c>
      <c r="B17" s="8" t="s">
        <v>47</v>
      </c>
      <c r="C17" s="25">
        <v>7.8</v>
      </c>
      <c r="D17" s="8" t="s">
        <v>25</v>
      </c>
      <c r="E17" s="8" t="s">
        <v>26</v>
      </c>
      <c r="F17" s="26">
        <v>0.7</v>
      </c>
      <c r="G17" s="8" t="s">
        <v>29</v>
      </c>
      <c r="H17" s="18">
        <f>RANK(I17,$I$5:$I$24)+COUNTIF($I$5:I17,I17)-1</f>
        <v>19</v>
      </c>
      <c r="I17" s="17">
        <f t="shared" si="0"/>
        <v>13.26</v>
      </c>
    </row>
    <row r="18" spans="1:9" x14ac:dyDescent="0.25">
      <c r="A18" s="8" t="s">
        <v>30</v>
      </c>
      <c r="B18" s="8" t="s">
        <v>48</v>
      </c>
      <c r="C18" s="25">
        <v>9.8000000000000007</v>
      </c>
      <c r="D18" s="8" t="s">
        <v>20</v>
      </c>
      <c r="E18" s="8" t="s">
        <v>21</v>
      </c>
      <c r="F18" s="26">
        <v>0.6</v>
      </c>
      <c r="G18" s="8" t="s">
        <v>32</v>
      </c>
      <c r="H18" s="18">
        <f>RANK(I18,$I$5:$I$24)+COUNTIF($I$5:I18,I18)-1</f>
        <v>18</v>
      </c>
      <c r="I18" s="17">
        <f t="shared" si="0"/>
        <v>14.112000000000002</v>
      </c>
    </row>
    <row r="19" spans="1:9" x14ac:dyDescent="0.25">
      <c r="A19" s="8" t="s">
        <v>33</v>
      </c>
      <c r="B19" s="8" t="s">
        <v>49</v>
      </c>
      <c r="C19" s="25">
        <v>7.2</v>
      </c>
      <c r="D19" s="8" t="s">
        <v>25</v>
      </c>
      <c r="E19" s="8" t="s">
        <v>26</v>
      </c>
      <c r="F19" s="26">
        <v>0.5</v>
      </c>
      <c r="G19" s="8" t="s">
        <v>22</v>
      </c>
      <c r="H19" s="18">
        <f>RANK(I19,$I$5:$I$24)+COUNTIF($I$5:I19,I19)-1</f>
        <v>16</v>
      </c>
      <c r="I19" s="17">
        <f t="shared" si="0"/>
        <v>16.200000000000003</v>
      </c>
    </row>
    <row r="20" spans="1:9" x14ac:dyDescent="0.25">
      <c r="A20" s="8" t="s">
        <v>35</v>
      </c>
      <c r="B20" s="8" t="s">
        <v>50</v>
      </c>
      <c r="C20" s="25">
        <v>9.8000000000000007</v>
      </c>
      <c r="D20" s="8" t="s">
        <v>20</v>
      </c>
      <c r="E20" s="8" t="s">
        <v>21</v>
      </c>
      <c r="F20" s="26">
        <v>0.84</v>
      </c>
      <c r="G20" s="8" t="s">
        <v>29</v>
      </c>
      <c r="H20" s="18">
        <f>RANK(I20,$I$5:$I$24)+COUNTIF($I$5:I20,I20)-1</f>
        <v>5</v>
      </c>
      <c r="I20" s="17">
        <f t="shared" si="0"/>
        <v>27.048000000000002</v>
      </c>
    </row>
    <row r="21" spans="1:9" x14ac:dyDescent="0.25">
      <c r="A21" s="8" t="s">
        <v>37</v>
      </c>
      <c r="B21" s="8" t="s">
        <v>51</v>
      </c>
      <c r="C21" s="25">
        <v>8.8000000000000007</v>
      </c>
      <c r="D21" s="8" t="s">
        <v>25</v>
      </c>
      <c r="E21" s="8" t="s">
        <v>26</v>
      </c>
      <c r="F21" s="26">
        <v>0.3</v>
      </c>
      <c r="G21" s="8" t="s">
        <v>22</v>
      </c>
      <c r="H21" s="18">
        <f>RANK(I21,$I$5:$I$24)+COUNTIF($I$5:I21,I21)-1</f>
        <v>15</v>
      </c>
      <c r="I21" s="17">
        <f t="shared" si="0"/>
        <v>17.160000000000004</v>
      </c>
    </row>
    <row r="22" spans="1:9" x14ac:dyDescent="0.25">
      <c r="A22" s="8" t="s">
        <v>39</v>
      </c>
      <c r="B22" s="8" t="s">
        <v>52</v>
      </c>
      <c r="C22" s="25">
        <v>10</v>
      </c>
      <c r="D22" s="8" t="s">
        <v>20</v>
      </c>
      <c r="E22" s="8" t="s">
        <v>21</v>
      </c>
      <c r="F22" s="26">
        <v>0.92</v>
      </c>
      <c r="G22" s="8" t="s">
        <v>29</v>
      </c>
      <c r="H22" s="18">
        <f>RANK(I22,$I$5:$I$24)+COUNTIF($I$5:I22,I22)-1</f>
        <v>4</v>
      </c>
      <c r="I22" s="17">
        <f t="shared" si="0"/>
        <v>28.799999999999997</v>
      </c>
    </row>
    <row r="23" spans="1:9" x14ac:dyDescent="0.25">
      <c r="A23" s="8" t="s">
        <v>41</v>
      </c>
      <c r="B23" s="8" t="s">
        <v>53</v>
      </c>
      <c r="C23" s="25">
        <v>9.8000000000000007</v>
      </c>
      <c r="D23" s="8" t="s">
        <v>20</v>
      </c>
      <c r="E23" s="8" t="s">
        <v>26</v>
      </c>
      <c r="F23" s="26">
        <v>0.78</v>
      </c>
      <c r="G23" s="8" t="s">
        <v>29</v>
      </c>
      <c r="H23" s="18">
        <f>RANK(I23,$I$5:$I$24)+COUNTIF($I$5:I23,I23)-1</f>
        <v>14</v>
      </c>
      <c r="I23" s="17">
        <f t="shared" si="0"/>
        <v>17.444000000000003</v>
      </c>
    </row>
    <row r="24" spans="1:9" x14ac:dyDescent="0.25">
      <c r="A24" s="8" t="s">
        <v>43</v>
      </c>
      <c r="B24" s="8" t="s">
        <v>54</v>
      </c>
      <c r="C24" s="25">
        <v>10</v>
      </c>
      <c r="D24" s="8" t="s">
        <v>20</v>
      </c>
      <c r="E24" s="8" t="s">
        <v>21</v>
      </c>
      <c r="F24" s="26">
        <v>0.66</v>
      </c>
      <c r="G24" s="8" t="s">
        <v>29</v>
      </c>
      <c r="H24" s="18">
        <f>RANK(I24,$I$5:$I$24)+COUNTIF($I$5:I24,I24)-1</f>
        <v>8</v>
      </c>
      <c r="I24" s="17">
        <f t="shared" si="0"/>
        <v>24.900000000000002</v>
      </c>
    </row>
    <row r="25" spans="1:9" x14ac:dyDescent="0.25">
      <c r="A25" s="8"/>
      <c r="B25" s="8"/>
      <c r="C25" s="8"/>
      <c r="D25" s="8"/>
      <c r="E25" s="8"/>
      <c r="F25" s="8"/>
      <c r="G25" s="8"/>
      <c r="H25" s="8"/>
    </row>
    <row r="26" spans="1:9" x14ac:dyDescent="0.25">
      <c r="A26" s="8"/>
      <c r="B26" s="8"/>
      <c r="C26" s="8"/>
      <c r="D26" s="8"/>
      <c r="E26" s="8"/>
      <c r="F26" s="8"/>
      <c r="G26" s="8"/>
      <c r="H26" s="8"/>
    </row>
    <row r="28" spans="1:9" x14ac:dyDescent="0.25">
      <c r="A28" s="10" t="s">
        <v>55</v>
      </c>
      <c r="B28" s="11"/>
      <c r="C28" s="11"/>
      <c r="D28" s="11"/>
      <c r="E28" s="11"/>
      <c r="F28" s="11"/>
      <c r="G28" s="11"/>
      <c r="H28" s="11"/>
    </row>
  </sheetData>
  <mergeCells count="1">
    <mergeCell ref="A28:H28"/>
  </mergeCells>
  <conditionalFormatting sqref="I5:I24">
    <cfRule type="dataBar" priority="1">
      <dataBar>
        <cfvo type="min"/>
        <cfvo type="max"/>
        <color rgb="FFF5A623"/>
      </dataBar>
      <extLst>
        <ext xmlns:x14="http://schemas.microsoft.com/office/spreadsheetml/2009/9/main" uri="{B025F937-C7B1-47D3-B67F-A62EFF666E3E}">
          <x14:id>{EB2A178F-F1F0-4806-8F8B-084BB70F022C}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2A178F-F1F0-4806-8F8B-084BB70F022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I5:I24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3" width="12" customWidth="1"/>
    <col min="4" max="4" width="16" customWidth="1"/>
    <col min="5" max="5" width="30" customWidth="1"/>
    <col min="6" max="7" width="14" customWidth="1"/>
  </cols>
  <sheetData>
    <row r="1" spans="1:7" ht="19.5" x14ac:dyDescent="0.3">
      <c r="A1" s="5" t="s">
        <v>56</v>
      </c>
    </row>
    <row r="2" spans="1:7" x14ac:dyDescent="0.25">
      <c r="A2" s="6" t="s">
        <v>57</v>
      </c>
    </row>
    <row r="4" spans="1:7" ht="30" customHeight="1" x14ac:dyDescent="0.25">
      <c r="A4" s="7" t="s">
        <v>58</v>
      </c>
      <c r="B4" s="7" t="s">
        <v>13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</row>
    <row r="5" spans="1:7" ht="25.5" x14ac:dyDescent="0.25">
      <c r="A5" s="9" t="s">
        <v>64</v>
      </c>
      <c r="B5" s="9" t="s">
        <v>20</v>
      </c>
      <c r="C5" s="9" t="s">
        <v>65</v>
      </c>
      <c r="D5" s="9" t="s">
        <v>66</v>
      </c>
      <c r="E5" s="9" t="s">
        <v>67</v>
      </c>
      <c r="F5" s="9" t="s">
        <v>68</v>
      </c>
      <c r="G5" s="9" t="s">
        <v>69</v>
      </c>
    </row>
    <row r="6" spans="1:7" x14ac:dyDescent="0.25">
      <c r="A6" s="8"/>
      <c r="B6" s="8"/>
      <c r="C6" s="8"/>
      <c r="D6" s="8"/>
      <c r="E6" s="8"/>
      <c r="F6" s="8"/>
      <c r="G6" s="8"/>
    </row>
    <row r="7" spans="1:7" x14ac:dyDescent="0.25">
      <c r="A7" s="8"/>
      <c r="B7" s="8"/>
      <c r="C7" s="8"/>
      <c r="D7" s="8"/>
      <c r="E7" s="8"/>
      <c r="F7" s="8"/>
      <c r="G7" s="8"/>
    </row>
    <row r="8" spans="1:7" x14ac:dyDescent="0.25">
      <c r="A8" s="8"/>
      <c r="B8" s="8"/>
      <c r="C8" s="8"/>
      <c r="D8" s="8"/>
      <c r="E8" s="8"/>
      <c r="F8" s="8"/>
      <c r="G8" s="8"/>
    </row>
    <row r="9" spans="1:7" x14ac:dyDescent="0.25">
      <c r="A9" s="8"/>
      <c r="B9" s="8"/>
      <c r="C9" s="8"/>
      <c r="D9" s="8"/>
      <c r="E9" s="8"/>
      <c r="F9" s="8"/>
      <c r="G9" s="8"/>
    </row>
    <row r="10" spans="1:7" x14ac:dyDescent="0.25">
      <c r="A10" s="8"/>
      <c r="B10" s="8"/>
      <c r="C10" s="8"/>
      <c r="D10" s="8"/>
      <c r="E10" s="8"/>
      <c r="F10" s="8"/>
      <c r="G10" s="8"/>
    </row>
    <row r="11" spans="1:7" x14ac:dyDescent="0.25">
      <c r="A11" s="8"/>
      <c r="B11" s="8"/>
      <c r="C11" s="8"/>
      <c r="D11" s="8"/>
      <c r="E11" s="8"/>
      <c r="F11" s="8"/>
      <c r="G11" s="8"/>
    </row>
    <row r="12" spans="1:7" x14ac:dyDescent="0.25">
      <c r="A12" s="8"/>
      <c r="B12" s="8"/>
      <c r="C12" s="8"/>
      <c r="D12" s="8"/>
      <c r="E12" s="8"/>
      <c r="F12" s="8"/>
      <c r="G12" s="8"/>
    </row>
    <row r="13" spans="1:7" x14ac:dyDescent="0.25">
      <c r="A13" s="8"/>
      <c r="B13" s="8"/>
      <c r="C13" s="8"/>
      <c r="D13" s="8"/>
      <c r="E13" s="8"/>
      <c r="F13" s="8"/>
      <c r="G13" s="8"/>
    </row>
    <row r="14" spans="1:7" x14ac:dyDescent="0.25">
      <c r="A14" s="8"/>
      <c r="B14" s="8"/>
      <c r="C14" s="8"/>
      <c r="D14" s="8"/>
      <c r="E14" s="8"/>
      <c r="F14" s="8"/>
      <c r="G14" s="8"/>
    </row>
    <row r="15" spans="1:7" x14ac:dyDescent="0.25">
      <c r="A15" s="8"/>
      <c r="B15" s="8"/>
      <c r="C15" s="8"/>
      <c r="D15" s="8"/>
      <c r="E15" s="8"/>
      <c r="F15" s="8"/>
      <c r="G15" s="8"/>
    </row>
    <row r="17" spans="1:7" x14ac:dyDescent="0.25">
      <c r="A17" s="10" t="s">
        <v>70</v>
      </c>
      <c r="B17" s="11"/>
      <c r="C17" s="11"/>
      <c r="D17" s="11"/>
      <c r="E17" s="11"/>
      <c r="F17" s="11"/>
      <c r="G17" s="11"/>
    </row>
  </sheetData>
  <mergeCells count="1">
    <mergeCell ref="A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0" customWidth="1"/>
    <col min="2" max="4" width="16" customWidth="1"/>
  </cols>
  <sheetData>
    <row r="1" spans="1:4" ht="19.5" x14ac:dyDescent="0.3">
      <c r="A1" s="5" t="s">
        <v>71</v>
      </c>
    </row>
    <row r="2" spans="1:4" x14ac:dyDescent="0.25">
      <c r="A2" s="6" t="s">
        <v>72</v>
      </c>
    </row>
    <row r="4" spans="1:4" ht="30" customHeight="1" x14ac:dyDescent="0.25">
      <c r="A4" s="7" t="s">
        <v>73</v>
      </c>
      <c r="B4" s="7" t="s">
        <v>74</v>
      </c>
      <c r="C4" s="7" t="s">
        <v>75</v>
      </c>
      <c r="D4" s="7" t="s">
        <v>76</v>
      </c>
    </row>
    <row r="5" spans="1:4" x14ac:dyDescent="0.25">
      <c r="A5" s="8" t="s">
        <v>77</v>
      </c>
      <c r="B5" s="8"/>
      <c r="C5" s="8" t="s">
        <v>78</v>
      </c>
      <c r="D5" s="8"/>
    </row>
    <row r="6" spans="1:4" x14ac:dyDescent="0.25">
      <c r="A6" s="8" t="s">
        <v>79</v>
      </c>
      <c r="B6" s="8"/>
      <c r="C6" s="8" t="s">
        <v>80</v>
      </c>
      <c r="D6" s="8"/>
    </row>
    <row r="7" spans="1:4" x14ac:dyDescent="0.25">
      <c r="A7" s="8" t="s">
        <v>81</v>
      </c>
      <c r="B7" s="8"/>
      <c r="C7" s="8" t="s">
        <v>82</v>
      </c>
      <c r="D7" s="8"/>
    </row>
    <row r="8" spans="1:4" x14ac:dyDescent="0.25">
      <c r="A8" s="8" t="s">
        <v>83</v>
      </c>
      <c r="B8" s="8"/>
      <c r="C8" s="8" t="s">
        <v>84</v>
      </c>
      <c r="D8" s="8"/>
    </row>
    <row r="9" spans="1:4" x14ac:dyDescent="0.25">
      <c r="A9" s="8"/>
      <c r="B9" s="8"/>
      <c r="C9" s="8"/>
      <c r="D9" s="8"/>
    </row>
    <row r="11" spans="1:4" x14ac:dyDescent="0.25">
      <c r="A11" s="10" t="s">
        <v>85</v>
      </c>
      <c r="B11" s="11"/>
      <c r="C11" s="11"/>
      <c r="D11" s="11"/>
    </row>
  </sheetData>
  <mergeCells count="1">
    <mergeCell ref="A11:D1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F0B908D3DE4141ADC2DC355EE86EE6" ma:contentTypeVersion="17" ma:contentTypeDescription="Create a new document." ma:contentTypeScope="" ma:versionID="2c3b9467c19e351a8e5ae1b2989016b4">
  <xsd:schema xmlns:xsd="http://www.w3.org/2001/XMLSchema" xmlns:xs="http://www.w3.org/2001/XMLSchema" xmlns:p="http://schemas.microsoft.com/office/2006/metadata/properties" xmlns:ns3="c1292df3-8333-4b8b-a142-e78bf7f9761d" xmlns:ns4="49eb7480-1b2f-4951-8640-25874ab86f0a" targetNamespace="http://schemas.microsoft.com/office/2006/metadata/properties" ma:root="true" ma:fieldsID="7ff06c3b2ae090c1e37958d1cad8e1c5" ns3:_="" ns4:_="">
    <xsd:import namespace="c1292df3-8333-4b8b-a142-e78bf7f9761d"/>
    <xsd:import namespace="49eb7480-1b2f-4951-8640-25874ab86f0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92df3-8333-4b8b-a142-e78bf7f976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b7480-1b2f-4951-8640-25874ab86f0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292df3-8333-4b8b-a142-e78bf7f9761d" xsi:nil="true"/>
  </documentManagement>
</p:properties>
</file>

<file path=customXml/itemProps1.xml><?xml version="1.0" encoding="utf-8"?>
<ds:datastoreItem xmlns:ds="http://schemas.openxmlformats.org/officeDocument/2006/customXml" ds:itemID="{A7625208-30FA-486E-A776-64BDE4AEC6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292df3-8333-4b8b-a142-e78bf7f9761d"/>
    <ds:schemaRef ds:uri="49eb7480-1b2f-4951-8640-25874ab86f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A82AAC-58F2-4221-9FC8-31BF8484B2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17DE40-4E21-4D1E-8D4A-80064D2ADE74}">
  <ds:schemaRefs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c1292df3-8333-4b8b-a142-e78bf7f9761d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49eb7480-1b2f-4951-8640-25874ab86f0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Dashboard</vt:lpstr>
      <vt:lpstr>Prioritization</vt:lpstr>
      <vt:lpstr>Remediation Tracker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Olukayode Osilaja</cp:lastModifiedBy>
  <dcterms:created xsi:type="dcterms:W3CDTF">2026-07-27T17:38:05Z</dcterms:created>
  <dcterms:modified xsi:type="dcterms:W3CDTF">2026-08-21T15:20:17Z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0x01010043F0B908D3DE4141ADC2DC355EE86EE6</vt:lpwstr>
  </property>
</Properties>
</file>